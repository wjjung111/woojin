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@HIGHTECH\88.ARAP 개발\"/>
    </mc:Choice>
  </mc:AlternateContent>
  <xr:revisionPtr revIDLastSave="0" documentId="13_ncr:1_{D31F1339-5254-4F06-8B84-33DE02D3022E}" xr6:coauthVersionLast="47" xr6:coauthVersionMax="47" xr10:uidLastSave="{00000000-0000-0000-0000-000000000000}"/>
  <bookViews>
    <workbookView xWindow="-103" yWindow="-103" windowWidth="33120" windowHeight="18000" activeTab="1" xr2:uid="{92241BBC-1646-4B61-A740-2E129053236E}"/>
  </bookViews>
  <sheets>
    <sheet name="토지산출 (2)" sheetId="1" r:id="rId1"/>
    <sheet name="건물산출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2" l="1"/>
  <c r="M8" i="2"/>
  <c r="I8" i="2"/>
  <c r="M7" i="2"/>
  <c r="K7" i="2"/>
  <c r="J7" i="2"/>
  <c r="I7" i="2"/>
  <c r="M6" i="2"/>
  <c r="L6" i="2"/>
  <c r="J6" i="2"/>
  <c r="I6" i="2"/>
  <c r="M5" i="2"/>
  <c r="J5" i="2"/>
  <c r="I5" i="2"/>
  <c r="AB89" i="1"/>
  <c r="S89" i="1"/>
  <c r="S87" i="1"/>
  <c r="T87" i="1" s="1"/>
  <c r="P89" i="1" s="1"/>
  <c r="Q89" i="1" s="1"/>
  <c r="R89" i="1" s="1"/>
  <c r="AB83" i="1"/>
  <c r="S83" i="1"/>
  <c r="S81" i="1"/>
  <c r="T81" i="1" s="1"/>
  <c r="P83" i="1" s="1"/>
  <c r="Q83" i="1" s="1"/>
  <c r="R83" i="1" s="1"/>
  <c r="C33" i="1" s="1"/>
  <c r="F33" i="1" s="1"/>
  <c r="G33" i="1" s="1"/>
  <c r="H33" i="1" s="1"/>
  <c r="AB77" i="1"/>
  <c r="S77" i="1"/>
  <c r="T77" i="1" s="1"/>
  <c r="T75" i="1"/>
  <c r="P77" i="1" s="1"/>
  <c r="Q77" i="1" s="1"/>
  <c r="R77" i="1" s="1"/>
  <c r="S71" i="1"/>
  <c r="T69" i="1"/>
  <c r="P71" i="1" s="1"/>
  <c r="Q71" i="1" s="1"/>
  <c r="R71" i="1" s="1"/>
  <c r="S69" i="1"/>
  <c r="AB65" i="1"/>
  <c r="S65" i="1"/>
  <c r="S63" i="1"/>
  <c r="T63" i="1" s="1"/>
  <c r="P65" i="1" s="1"/>
  <c r="Q65" i="1" s="1"/>
  <c r="R65" i="1" s="1"/>
  <c r="R52" i="1"/>
  <c r="R50" i="1"/>
  <c r="L14" i="1" s="1"/>
  <c r="R48" i="1"/>
  <c r="M40" i="1"/>
  <c r="C36" i="1"/>
  <c r="E33" i="1"/>
  <c r="D33" i="1"/>
  <c r="C31" i="1"/>
  <c r="D27" i="1"/>
  <c r="C27" i="1"/>
  <c r="B27" i="1"/>
  <c r="M23" i="1"/>
  <c r="L23" i="1"/>
  <c r="K23" i="1"/>
  <c r="H23" i="1"/>
  <c r="P22" i="1" s="1"/>
  <c r="G23" i="1"/>
  <c r="F23" i="1"/>
  <c r="N22" i="1" s="1"/>
  <c r="E23" i="1"/>
  <c r="D23" i="1"/>
  <c r="C23" i="1"/>
  <c r="M22" i="1"/>
  <c r="L22" i="1"/>
  <c r="K22" i="1"/>
  <c r="J22" i="1"/>
  <c r="H22" i="1"/>
  <c r="Z80" i="1" s="1"/>
  <c r="G22" i="1"/>
  <c r="F22" i="1"/>
  <c r="E22" i="1"/>
  <c r="D22" i="1"/>
  <c r="Y80" i="1" s="1"/>
  <c r="C22" i="1"/>
  <c r="V80" i="1" s="1"/>
  <c r="P20" i="1"/>
  <c r="M14" i="1" s="1"/>
  <c r="H20" i="1"/>
  <c r="K15" i="1"/>
  <c r="N15" i="1" s="1"/>
  <c r="K14" i="1"/>
  <c r="C13" i="1"/>
  <c r="L15" i="1" s="1"/>
  <c r="AB7" i="1"/>
  <c r="AB8" i="1" s="1"/>
  <c r="Y7" i="1"/>
  <c r="Y8" i="1" s="1"/>
  <c r="F6" i="1" s="1"/>
  <c r="I7" i="1"/>
  <c r="H7" i="1"/>
  <c r="D7" i="1"/>
  <c r="Z2" i="1"/>
  <c r="W2" i="1"/>
  <c r="E25" i="1" s="1"/>
  <c r="N5" i="2" l="1"/>
  <c r="O5" i="2" s="1"/>
  <c r="P5" i="2" s="1"/>
  <c r="N6" i="2"/>
  <c r="O6" i="2" s="1"/>
  <c r="P6" i="2" s="1"/>
  <c r="L7" i="2"/>
  <c r="N7" i="2" s="1"/>
  <c r="O7" i="2" s="1"/>
  <c r="P7" i="2" s="1"/>
  <c r="T83" i="1"/>
  <c r="T71" i="1"/>
  <c r="T89" i="1"/>
  <c r="T65" i="1"/>
  <c r="N14" i="1"/>
  <c r="O14" i="1" s="1"/>
  <c r="P14" i="1" s="1"/>
  <c r="E27" i="1" s="1"/>
  <c r="F27" i="1" s="1"/>
  <c r="G27" i="1" s="1"/>
  <c r="V66" i="1"/>
  <c r="Y66" i="1"/>
  <c r="L8" i="2" l="1"/>
  <c r="N8" i="2" s="1"/>
  <c r="O8" i="2" s="1"/>
  <c r="P8" i="2" s="1"/>
  <c r="P9" i="2" s="1"/>
  <c r="F25" i="1"/>
  <c r="H27" i="1"/>
  <c r="C6" i="1"/>
  <c r="E31" i="1"/>
  <c r="G31" i="1" s="1"/>
  <c r="I6" i="1" l="1"/>
  <c r="D6" i="1"/>
  <c r="E6" i="1" s="1"/>
  <c r="G6" i="1" s="1"/>
</calcChain>
</file>

<file path=xl/sharedStrings.xml><?xml version="1.0" encoding="utf-8"?>
<sst xmlns="http://schemas.openxmlformats.org/spreadsheetml/2006/main" count="945" uniqueCount="262">
  <si>
    <t>클릭하고 복붙</t>
    <phoneticPr fontId="3" type="noConversion"/>
  </si>
  <si>
    <t>소재지</t>
  </si>
  <si>
    <t>지번</t>
  </si>
  <si>
    <t>지목</t>
  </si>
  <si>
    <t>면적</t>
  </si>
  <si>
    <t>공시지가</t>
  </si>
  <si>
    <t>이용상황</t>
  </si>
  <si>
    <t>지세</t>
  </si>
  <si>
    <t>형상</t>
  </si>
  <si>
    <t>방위</t>
  </si>
  <si>
    <t>용도지역</t>
  </si>
  <si>
    <t>접면</t>
  </si>
  <si>
    <t>용도지구</t>
  </si>
  <si>
    <t>계획시설</t>
  </si>
  <si>
    <t>저촉률</t>
  </si>
  <si>
    <t>제한구역기타</t>
  </si>
  <si>
    <t>전년지가</t>
  </si>
  <si>
    <t>전전년지가</t>
  </si>
  <si>
    <t>비고</t>
  </si>
  <si>
    <t>태서</t>
    <phoneticPr fontId="3" type="noConversion"/>
  </si>
  <si>
    <t>대림동</t>
  </si>
  <si>
    <t>746-5</t>
  </si>
  <si>
    <t>대</t>
  </si>
  <si>
    <t>단독</t>
  </si>
  <si>
    <t>평지</t>
  </si>
  <si>
    <t>세장형</t>
  </si>
  <si>
    <t>남서향</t>
  </si>
  <si>
    <t>2종일주</t>
  </si>
  <si>
    <t>세로(가)</t>
  </si>
  <si>
    <t>없음</t>
  </si>
  <si>
    <t>교육</t>
  </si>
  <si>
    <t>2025년</t>
  </si>
  <si>
    <t>토지</t>
    <phoneticPr fontId="3" type="noConversion"/>
  </si>
  <si>
    <t>기준시점</t>
    <phoneticPr fontId="3" type="noConversion"/>
  </si>
  <si>
    <t>주택</t>
    <phoneticPr fontId="3" type="noConversion"/>
  </si>
  <si>
    <t>결과</t>
    <phoneticPr fontId="3" type="noConversion"/>
  </si>
  <si>
    <t>단가</t>
    <phoneticPr fontId="3" type="noConversion"/>
  </si>
  <si>
    <t>총액</t>
    <phoneticPr fontId="3" type="noConversion"/>
  </si>
  <si>
    <t>토+건</t>
    <phoneticPr fontId="3" type="noConversion"/>
  </si>
  <si>
    <t>탁상</t>
    <phoneticPr fontId="3" type="noConversion"/>
  </si>
  <si>
    <t>격차율</t>
    <phoneticPr fontId="3" type="noConversion"/>
  </si>
  <si>
    <t>주택 외</t>
    <phoneticPr fontId="3" type="noConversion"/>
  </si>
  <si>
    <t>건물</t>
    <phoneticPr fontId="3" type="noConversion"/>
  </si>
  <si>
    <t>건물 합</t>
    <phoneticPr fontId="3" type="noConversion"/>
  </si>
  <si>
    <t>총 합</t>
    <phoneticPr fontId="3" type="noConversion"/>
  </si>
  <si>
    <t>표준지 선정</t>
    <phoneticPr fontId="3" type="noConversion"/>
  </si>
  <si>
    <t>선택</t>
  </si>
  <si>
    <t>공시_x000D_
년도</t>
  </si>
  <si>
    <t>지역_x000D_
코드</t>
  </si>
  <si>
    <t>일련_x000D_
번호</t>
  </si>
  <si>
    <t>일단구분</t>
  </si>
  <si>
    <t>이용상황기타</t>
  </si>
  <si>
    <t>용도지역1</t>
  </si>
  <si>
    <t>용도지역2</t>
  </si>
  <si>
    <t>주위환경</t>
  </si>
  <si>
    <t>주위환경기타</t>
  </si>
  <si>
    <t>지리적위치1</t>
  </si>
  <si>
    <t>지리적위치2</t>
  </si>
  <si>
    <t>도로교통</t>
  </si>
  <si>
    <t>2024년</t>
  </si>
  <si>
    <t>2023년</t>
  </si>
  <si>
    <t>2022년</t>
  </si>
  <si>
    <t>2021년</t>
  </si>
  <si>
    <t>기타제한1</t>
  </si>
  <si>
    <t>기타제한2</t>
  </si>
  <si>
    <t>용도지구2</t>
  </si>
  <si>
    <t>임야구분</t>
  </si>
  <si>
    <t>농지구분</t>
  </si>
  <si>
    <t>유해철도</t>
  </si>
  <si>
    <t>유해하수</t>
  </si>
  <si>
    <t>경지정리</t>
  </si>
  <si>
    <t>옥도구분</t>
  </si>
  <si>
    <t>호가</t>
  </si>
  <si>
    <t>용도1_x000D_
면적</t>
  </si>
  <si>
    <t>용도1가격</t>
  </si>
  <si>
    <t>용도2_x000D_
면적</t>
  </si>
  <si>
    <t>용도2가격</t>
  </si>
  <si>
    <t>A법인</t>
  </si>
  <si>
    <t>B법인</t>
  </si>
  <si>
    <t>실거래</t>
  </si>
  <si>
    <t>토지_x000D_
등기</t>
  </si>
  <si>
    <t>건물_x000D_
등기</t>
  </si>
  <si>
    <t>토지_x000D_
대장</t>
  </si>
  <si>
    <t>건축물_x000D_
대장</t>
  </si>
  <si>
    <t>토지이용_x000D_
계획</t>
  </si>
  <si>
    <t>지적도</t>
  </si>
  <si>
    <t>체크</t>
  </si>
  <si>
    <t xml:space="preserve"> 대림동</t>
  </si>
  <si>
    <t>746-3</t>
  </si>
  <si>
    <t>단독주택</t>
  </si>
  <si>
    <t>기존 주택지대</t>
  </si>
  <si>
    <t>도신초등학교</t>
  </si>
  <si>
    <t>서측인근</t>
  </si>
  <si>
    <t>토지거래허가구역</t>
  </si>
  <si>
    <t>교육환경보호구역</t>
  </si>
  <si>
    <t>y</t>
  </si>
  <si>
    <t>n</t>
  </si>
  <si>
    <t>시점수정치</t>
    <phoneticPr fontId="3" type="noConversion"/>
  </si>
  <si>
    <t>그밖의 요인</t>
    <phoneticPr fontId="3" type="noConversion"/>
  </si>
  <si>
    <t>서울특별시 영등포구 (26.01.01~26.02.25 ) (주거)
2026.01.01 ~ 2026.01.31 : 0.471
2026.02.01 ~ 2026.02.28 : 0.490
( 1 + 0.00471 ) * ( 1 + 0.00490 * 25/28 )
 ≒ 1.00911</t>
    <phoneticPr fontId="3" type="noConversion"/>
  </si>
  <si>
    <t>표준지</t>
    <phoneticPr fontId="3" type="noConversion"/>
  </si>
  <si>
    <t>개별요인비교</t>
    <phoneticPr fontId="3" type="noConversion"/>
  </si>
  <si>
    <t>(본건/표준지)</t>
    <phoneticPr fontId="3" type="noConversion"/>
  </si>
  <si>
    <t>(표준지/선례)</t>
    <phoneticPr fontId="3" type="noConversion"/>
  </si>
  <si>
    <t>가로</t>
    <phoneticPr fontId="3" type="noConversion"/>
  </si>
  <si>
    <t>접근</t>
    <phoneticPr fontId="3" type="noConversion"/>
  </si>
  <si>
    <t>환경</t>
    <phoneticPr fontId="3" type="noConversion"/>
  </si>
  <si>
    <t>획지</t>
    <phoneticPr fontId="3" type="noConversion"/>
  </si>
  <si>
    <t>행정</t>
    <phoneticPr fontId="3" type="noConversion"/>
  </si>
  <si>
    <t>기타</t>
    <phoneticPr fontId="3" type="noConversion"/>
  </si>
  <si>
    <t>계</t>
    <phoneticPr fontId="3" type="noConversion"/>
  </si>
  <si>
    <t>본건은 표준지 대비 각지에서 열세하나 형상 등에서 다소 우세함</t>
    <phoneticPr fontId="3" type="noConversion"/>
  </si>
  <si>
    <t>표준지는 평가선례 대비 면적 등에서 다소 우세함</t>
    <phoneticPr fontId="3" type="noConversion"/>
  </si>
  <si>
    <t>본건</t>
    <phoneticPr fontId="3" type="noConversion"/>
  </si>
  <si>
    <t>선례</t>
    <phoneticPr fontId="3" type="noConversion"/>
  </si>
  <si>
    <t>공시지가기준법</t>
    <phoneticPr fontId="3" type="noConversion"/>
  </si>
  <si>
    <t xml:space="preserve">탁상단가: </t>
    <phoneticPr fontId="3" type="noConversion"/>
  </si>
  <si>
    <t>시점수정</t>
    <phoneticPr fontId="3" type="noConversion"/>
  </si>
  <si>
    <t>개별요인</t>
    <phoneticPr fontId="3" type="noConversion"/>
  </si>
  <si>
    <t>그밖의요인치</t>
    <phoneticPr fontId="3" type="noConversion"/>
  </si>
  <si>
    <t>산정단가</t>
    <phoneticPr fontId="3" type="noConversion"/>
  </si>
  <si>
    <t>결정단가</t>
    <phoneticPr fontId="3" type="noConversion"/>
  </si>
  <si>
    <t>시산가액</t>
    <phoneticPr fontId="3" type="noConversion"/>
  </si>
  <si>
    <t>거사비</t>
    <phoneticPr fontId="3" type="noConversion"/>
  </si>
  <si>
    <t>공시지단가:</t>
    <phoneticPr fontId="3" type="noConversion"/>
  </si>
  <si>
    <t>공시지/거사비:</t>
    <phoneticPr fontId="3" type="noConversion"/>
  </si>
  <si>
    <t>사례</t>
    <phoneticPr fontId="3" type="noConversion"/>
  </si>
  <si>
    <t>거래사례단가</t>
    <phoneticPr fontId="3" type="noConversion"/>
  </si>
  <si>
    <t>평가사례</t>
    <phoneticPr fontId="3" type="noConversion"/>
  </si>
  <si>
    <t>시점수정치 입력</t>
    <phoneticPr fontId="3" type="noConversion"/>
  </si>
  <si>
    <t>Is Selected</t>
  </si>
  <si>
    <t>평가목적</t>
  </si>
  <si>
    <t>복사</t>
  </si>
  <si>
    <t>연도</t>
  </si>
  <si>
    <t>물건</t>
  </si>
  <si>
    <t>단가</t>
  </si>
  <si>
    <t>지목/_x000D_
건물용도</t>
  </si>
  <si>
    <t>평가액/면적</t>
  </si>
  <si>
    <t>기준시점</t>
  </si>
  <si>
    <t>평가액_x000D_
(개별)</t>
  </si>
  <si>
    <t>감정평가총액</t>
  </si>
  <si>
    <t>(개별)_x000D_
공시연도</t>
  </si>
  <si>
    <t>(개별)_x000D_
공시지가</t>
  </si>
  <si>
    <t>(개별)_x000D_
지목</t>
  </si>
  <si>
    <t>(개별)_x000D_
이용상황</t>
  </si>
  <si>
    <t>(개별)_x000D_
용도지역</t>
  </si>
  <si>
    <t>(개별)_x000D_
도로교통</t>
  </si>
  <si>
    <t>(개별)_x000D_
형상</t>
  </si>
  <si>
    <t>(개별)_x000D_
지세</t>
  </si>
  <si>
    <t>등록구분</t>
  </si>
  <si>
    <t>건명</t>
  </si>
  <si>
    <t>감정서</t>
  </si>
  <si>
    <t>거래_x000D_
사례</t>
  </si>
  <si>
    <t>회원사</t>
  </si>
  <si>
    <t>회원사명</t>
  </si>
  <si>
    <t>시가참고</t>
  </si>
  <si>
    <t>토지</t>
  </si>
  <si>
    <t>서울특별시 광진구 자양동</t>
  </si>
  <si>
    <t xml:space="preserve">    10-   3*</t>
  </si>
  <si>
    <t xml:space="preserve">    10-  35</t>
  </si>
  <si>
    <t>상업용</t>
  </si>
  <si>
    <t>소로한면</t>
  </si>
  <si>
    <t>세***</t>
  </si>
  <si>
    <t xml:space="preserve">평균단가 </t>
    <phoneticPr fontId="3" type="noConversion"/>
  </si>
  <si>
    <t>법원경매</t>
  </si>
  <si>
    <t xml:space="preserve">    16-   1*</t>
  </si>
  <si>
    <t xml:space="preserve">    16-  17</t>
  </si>
  <si>
    <t>주거나지</t>
  </si>
  <si>
    <t>세로(불)</t>
  </si>
  <si>
    <t>태***</t>
  </si>
  <si>
    <t>허가지</t>
  </si>
  <si>
    <t>조세</t>
  </si>
  <si>
    <t xml:space="preserve">    12-   1*</t>
  </si>
  <si>
    <t xml:space="preserve">    12-  17</t>
  </si>
  <si>
    <t>주상용</t>
  </si>
  <si>
    <t>공매(NPL)</t>
  </si>
  <si>
    <t xml:space="preserve">    13-   5*</t>
  </si>
  <si>
    <t xml:space="preserve">    13-  54</t>
  </si>
  <si>
    <t>자루형</t>
  </si>
  <si>
    <t>정***</t>
  </si>
  <si>
    <t>서울특별시 영등포구 (25.03.12~26.02.25 ) (주거)
2025.03.01 ~ 2025.03.31 : 0.217
2025.04.01 ~ 2025.04.30 : 0.245
2025.05.01 ~ 2025.05.31 : 0.260
2025.06.01 ~ 2025.06.30 : 0.281
2025.07.01 ~ 2025.07.31 : 0.274
2025.08.01 ~ 2025.08.31 : 0.279
2025.09.01 ~ 2025.09.30 : 0.300
2025.10.01 ~ 2025.10.31 : 0.388
2025.11.01 ~ 2025.11.30 : 0.461
2025.12.01 ~ 2025.12.31 : 0.455
2026.01.01 ~ 2026.01.31 : 0.471
2026.02.01 ~ 2026.02.28 : 0.490
( 1 + 0.00217 * 20/31 ) * ( 1 + 0.00245 ) * ( 1 + 0.00260 ) * ( 1 + 0.00281 ) * ( 1 + 0.00274 ) * ( 1 + 0.00279 ) * ( 1 + 0.00300 ) * ( 1 + 0.00388 ) * ( 1 + 0.00461 ) * ( 1 + 0.00455 ) * ( 1 + 0.00471 ) * ( 1 + 0.00490 * 25/28 )
 ≒ 1.04065</t>
    <phoneticPr fontId="3" type="noConversion"/>
  </si>
  <si>
    <t>담보</t>
  </si>
  <si>
    <t>서울특별시 영등포구 대림동</t>
  </si>
  <si>
    <t xml:space="preserve">   752-   3*</t>
  </si>
  <si>
    <t xml:space="preserve">   752-  32</t>
  </si>
  <si>
    <t xml:space="preserve">대 </t>
  </si>
  <si>
    <t>30061B</t>
  </si>
  <si>
    <t>대***</t>
  </si>
  <si>
    <t>서울특별시 영등포구 (25.07.18~26.02.25 ) (주거)
2025.07.01 ~ 2025.07.31 : 0.274
2025.08.01 ~ 2025.08.31 : 0.279
2025.09.01 ~ 2025.09.30 : 0.300
2025.10.01 ~ 2025.10.31 : 0.388
2025.11.01 ~ 2025.11.30 : 0.461
2025.12.01 ~ 2025.12.31 : 0.455
2026.01.01 ~ 2026.01.31 : 0.471
2026.02.01 ~ 2026.02.28 : 0.490
( 1 + 0.00274 * 14/31 ) * ( 1 + 0.00279 ) * ( 1 + 0.00300 ) * ( 1 + 0.00388 ) * ( 1 + 0.00461 ) * ( 1 + 0.00455 ) * ( 1 + 0.00471 ) * ( 1 + 0.00490 * 25/28 )
 ≒ 1.02952</t>
    <phoneticPr fontId="3" type="noConversion"/>
  </si>
  <si>
    <t xml:space="preserve">   900-   1*</t>
  </si>
  <si>
    <t xml:space="preserve">   900-  19</t>
  </si>
  <si>
    <t>제***</t>
  </si>
  <si>
    <t>서울특별시 영등포구 (25.11.12~26.02.25 ) (주거)
2025.11.01 ~ 2025.11.30 : 0.461
2025.12.01 ~ 2025.12.31 : 0.455
2026.01.01 ~ 2026.01.31 : 0.471
2026.02.01 ~ 2026.02.28 : 0.490
( 1 + 0.00461 * 19/30 ) * ( 1 + 0.00455 ) * ( 1 + 0.00471 ) * ( 1 + 0.00490 * 25/28 )
 ≒ 1.01666</t>
    <phoneticPr fontId="3" type="noConversion"/>
  </si>
  <si>
    <t>표준지 시점수정</t>
    <phoneticPr fontId="3" type="noConversion"/>
  </si>
  <si>
    <t>거래사례</t>
    <phoneticPr fontId="3" type="noConversion"/>
  </si>
  <si>
    <t>상세물건번호</t>
  </si>
  <si>
    <t>시군구</t>
  </si>
  <si>
    <t>상세물건구분</t>
  </si>
  <si>
    <t>거래시점</t>
  </si>
  <si>
    <t>전체면적</t>
  </si>
  <si>
    <t>전용면적</t>
  </si>
  <si>
    <t>물건금액</t>
  </si>
  <si>
    <t>사용승인일자</t>
  </si>
  <si>
    <t>재조달</t>
    <phoneticPr fontId="3" type="noConversion"/>
  </si>
  <si>
    <t>내용연수</t>
    <phoneticPr fontId="3" type="noConversion"/>
  </si>
  <si>
    <t>경과</t>
    <phoneticPr fontId="3" type="noConversion"/>
  </si>
  <si>
    <t xml:space="preserve">적용단가 </t>
    <phoneticPr fontId="3" type="noConversion"/>
  </si>
  <si>
    <t>Row Data.Row.Is Selected</t>
  </si>
  <si>
    <t>년도_x000D_
(공시년도)</t>
  </si>
  <si>
    <t>상승률</t>
  </si>
  <si>
    <t>2년전지가</t>
  </si>
  <si>
    <t>구분</t>
  </si>
  <si>
    <t>서울특별시 영등포구</t>
  </si>
  <si>
    <t>893-80</t>
  </si>
  <si>
    <t>건물</t>
  </si>
  <si>
    <t>제2종일반주거지역</t>
  </si>
  <si>
    <t>벽돌구조</t>
  </si>
  <si>
    <t>확인 되지 않은</t>
  </si>
  <si>
    <t>송파동</t>
  </si>
  <si>
    <t>정방형</t>
  </si>
  <si>
    <t>남동향</t>
  </si>
  <si>
    <t>군사</t>
  </si>
  <si>
    <t>민유지</t>
  </si>
  <si>
    <t>건물평가액</t>
    <phoneticPr fontId="3" type="noConversion"/>
  </si>
  <si>
    <t>토지가액</t>
    <phoneticPr fontId="3" type="noConversion"/>
  </si>
  <si>
    <t>토지단가</t>
    <phoneticPr fontId="3" type="noConversion"/>
  </si>
  <si>
    <t>서울특별시 영등포구 (25.06.07~26.02.25 ) (주거)
2025.06.01 ~ 2025.06.30 : 0.281
2025.07.01 ~ 2025.07.31 : 0.274
2025.08.01 ~ 2025.08.31 : 0.279
2025.09.01 ~ 2025.09.30 : 0.300
2025.10.01 ~ 2025.10.31 : 0.388
2025.11.01 ~ 2025.11.30 : 0.461
2025.12.01 ~ 2025.12.31 : 0.455
2026.01.01 ~ 2026.01.31 : 0.471
2026.02.01 ~ 2026.02.28 : 0.490
( 1 + 0.00281 * 24/30 ) * ( 1 + 0.00274 ) * ( 1 + 0.00279 ) * ( 1 + 0.00300 ) * ( 1 + 0.00388 ) * ( 1 + 0.00461 ) * ( 1 + 0.00455 ) * ( 1 + 0.00471 ) * ( 1 + 0.00490 * 25/28 )
 ≒ 1.03338</t>
    <phoneticPr fontId="3" type="noConversion"/>
  </si>
  <si>
    <t>본건/거래사례</t>
    <phoneticPr fontId="3" type="noConversion"/>
  </si>
  <si>
    <t>본건이 지하철 우세</t>
    <phoneticPr fontId="3" type="noConversion"/>
  </si>
  <si>
    <t>본건이 우세</t>
    <phoneticPr fontId="3" type="noConversion"/>
  </si>
  <si>
    <t>723-7</t>
  </si>
  <si>
    <t>678-11</t>
  </si>
  <si>
    <t>가장형</t>
  </si>
  <si>
    <t>세각(가)</t>
  </si>
  <si>
    <t>서울특별시 영등포구 (25.12.11~26.02.25 ) (주거)
2025.12.01 ~ 2025.12.31 : 0.455
2026.01.01 ~ 2026.01.31 : 0.471
2026.02.01 ~ 2026.02.28 : 0.490
( 1 + 0.00455 * 21/31 ) * ( 1 + 0.00471 ) * ( 1 + 0.00490 * 25/28 )
 ≒ 1.01222</t>
    <phoneticPr fontId="3" type="noConversion"/>
  </si>
  <si>
    <t>대등?</t>
    <phoneticPr fontId="3" type="noConversion"/>
  </si>
  <si>
    <t>844-30</t>
  </si>
  <si>
    <t>철근콘크리트구조
(철근콘크리트구조)</t>
    <phoneticPr fontId="3" type="noConversion"/>
  </si>
  <si>
    <t>서울특별시 영등포구 (25.07.01~26.02.25 ) (주거)
2025.07.01 ~ 2025.07.31 : 0.274
2025.08.01 ~ 2025.08.31 : 0.279
2025.09.01 ~ 2025.09.30 : 0.300
2025.10.01 ~ 2025.10.31 : 0.388
2025.11.01 ~ 2025.11.30 : 0.461
2025.12.01 ~ 2025.12.31 : 0.455
2026.01.01 ~ 2026.01.31 : 0.471
2026.02.01 ~ 2026.02.28 : 0.490
( 1 + 0.00274 ) * ( 1 + 0.00279 ) * ( 1 + 0.00300 ) * ( 1 + 0.00388 ) * ( 1 + 0.00461 ) * ( 1 + 0.00455 ) * ( 1 + 0.00471 ) * ( 1 + 0.00490 * 25/28 )
 ≒ 1.03107</t>
    <phoneticPr fontId="3" type="noConversion"/>
  </si>
  <si>
    <t>753-26</t>
  </si>
  <si>
    <t>서울특별시 영등포구 (24.11.13~26.02.25 ) (주거)
2024.11.01 ~ 2024.11.30 : 0.287
2024.12.01 ~ 2024.12.31 : 0.213
2025.01.01 ~ 2025.12.31 : 3.606
2026.01.01 ~ 2026.01.31 : 0.471
2026.02.01 ~ 2026.02.28 : 0.490
( 1 + 0.00287 * 18/30 ) * ( 1 + 0.00213 ) * ( 1 + 0.03606 ) * ( 1 + 0.00471 ) * ( 1 + 0.00490 * 25/28 )
 ≒ 1.04953</t>
    <phoneticPr fontId="3" type="noConversion"/>
  </si>
  <si>
    <t xml:space="preserve">사용승인 </t>
    <phoneticPr fontId="3" type="noConversion"/>
  </si>
  <si>
    <t>층구분</t>
  </si>
  <si>
    <t>층별</t>
  </si>
  <si>
    <t>구조</t>
  </si>
  <si>
    <t>용도</t>
  </si>
  <si>
    <t>연면적(㎡)</t>
  </si>
  <si>
    <t>경과연수</t>
    <phoneticPr fontId="3" type="noConversion"/>
  </si>
  <si>
    <t>적용단가</t>
    <phoneticPr fontId="3" type="noConversion"/>
  </si>
  <si>
    <t>산출금액</t>
    <phoneticPr fontId="3" type="noConversion"/>
  </si>
  <si>
    <t>주1</t>
  </si>
  <si>
    <t>지하</t>
  </si>
  <si>
    <t>지1</t>
  </si>
  <si>
    <t>연와조</t>
  </si>
  <si>
    <t>주택(2가구)</t>
  </si>
  <si>
    <t>지상</t>
  </si>
  <si>
    <t>1층</t>
  </si>
  <si>
    <t>2층</t>
  </si>
  <si>
    <t>주택(1가구)</t>
  </si>
  <si>
    <t>옥탑</t>
  </si>
  <si>
    <t>옥탑 1층</t>
  </si>
  <si>
    <t>연면적제외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</si>
</sst>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76" formatCode="&quot;@&quot;#,##0_ "/>
    <numFmt numFmtId="177" formatCode="0.000"/>
    <numFmt numFmtId="178" formatCode="mm&quot;월&quot;\ dd&quot;일&quot;"/>
    <numFmt numFmtId="179" formatCode="&quot;# &quot;General"/>
    <numFmt numFmtId="180" formatCode="0.00000"/>
    <numFmt numFmtId="181" formatCode="#,##0_ "/>
    <numFmt numFmtId="182" formatCode="&quot;@&quot;_-* #,##0_-;\-* #,##0_-;_-* &quot;-&quot;_-;_-@_-"/>
    <numFmt numFmtId="183" formatCode="#,##0.000_ "/>
    <numFmt numFmtId="184" formatCode="&quot;선정 #&quot;General"/>
    <numFmt numFmtId="185" formatCode="_-* #,##0.00000_-;\-* #,##0.00000_-;_-* &quot;-&quot;_-;_-@_-"/>
    <numFmt numFmtId="186" formatCode="_-* #,##0.000_-;\-* #,##0.000_-;_-* &quot;-&quot;_-;_-@_-"/>
    <numFmt numFmtId="187" formatCode="#,##0.0000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trike/>
      <sz val="6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9"/>
      <color rgb="FFFF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F8FC"/>
        <bgColor indexed="64"/>
      </patternFill>
    </fill>
    <fill>
      <patternFill patternType="solid">
        <fgColor rgb="FFF0F0F0"/>
        <bgColor indexed="8"/>
      </patternFill>
    </fill>
    <fill>
      <patternFill patternType="solid">
        <fgColor rgb="FFFFFFFF"/>
        <bgColor indexed="8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quotePrefix="1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6" fillId="0" borderId="0" xfId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1" fontId="6" fillId="0" borderId="1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3" fontId="5" fillId="0" borderId="0" xfId="0" quotePrefix="1" applyNumberFormat="1" applyFont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41" fontId="5" fillId="0" borderId="0" xfId="1" applyFont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11" fontId="5" fillId="0" borderId="1" xfId="1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76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8" fontId="5" fillId="0" borderId="1" xfId="0" quotePrefix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82" fontId="5" fillId="2" borderId="0" xfId="0" applyNumberFormat="1" applyFont="1" applyFill="1" applyAlignment="1">
      <alignment horizontal="left" vertical="center"/>
    </xf>
    <xf numFmtId="43" fontId="5" fillId="2" borderId="0" xfId="0" applyNumberFormat="1" applyFont="1" applyFill="1" applyAlignment="1">
      <alignment horizontal="left" vertical="center"/>
    </xf>
    <xf numFmtId="3" fontId="5" fillId="0" borderId="10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83" fontId="5" fillId="0" borderId="12" xfId="0" applyNumberFormat="1" applyFont="1" applyBorder="1" applyAlignment="1">
      <alignment horizontal="center" vertical="center"/>
    </xf>
    <xf numFmtId="181" fontId="5" fillId="0" borderId="12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left" vertical="center"/>
    </xf>
    <xf numFmtId="177" fontId="5" fillId="0" borderId="0" xfId="0" applyNumberFormat="1" applyFont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184" fontId="6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176" fontId="5" fillId="2" borderId="4" xfId="0" applyNumberFormat="1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2" fontId="5" fillId="2" borderId="4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84" fontId="4" fillId="0" borderId="11" xfId="0" applyNumberFormat="1" applyFont="1" applyBorder="1" applyAlignment="1">
      <alignment horizontal="center" vertical="center"/>
    </xf>
    <xf numFmtId="185" fontId="5" fillId="0" borderId="12" xfId="1" applyNumberFormat="1" applyFont="1" applyBorder="1" applyAlignment="1">
      <alignment horizontal="center" vertical="center"/>
    </xf>
    <xf numFmtId="184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181" fontId="5" fillId="4" borderId="0" xfId="0" applyNumberFormat="1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left" vertical="center"/>
    </xf>
    <xf numFmtId="181" fontId="6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81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81" fontId="6" fillId="5" borderId="0" xfId="0" applyNumberFormat="1" applyFont="1" applyFill="1" applyAlignment="1">
      <alignment horizontal="center" vertical="center"/>
    </xf>
    <xf numFmtId="14" fontId="6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left" vertical="center"/>
    </xf>
    <xf numFmtId="3" fontId="5" fillId="5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86" fontId="5" fillId="0" borderId="15" xfId="1" applyNumberFormat="1" applyFont="1" applyBorder="1" applyAlignment="1">
      <alignment horizontal="center" vertical="center"/>
    </xf>
    <xf numFmtId="181" fontId="6" fillId="0" borderId="8" xfId="0" applyNumberFormat="1" applyFont="1" applyBorder="1">
      <alignment vertical="center"/>
    </xf>
    <xf numFmtId="18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86" fontId="5" fillId="0" borderId="1" xfId="1" applyNumberFormat="1" applyFont="1" applyBorder="1" applyAlignment="1">
      <alignment horizontal="center" vertical="center"/>
    </xf>
    <xf numFmtId="181" fontId="5" fillId="0" borderId="8" xfId="0" applyNumberFormat="1" applyFont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186" fontId="5" fillId="8" borderId="1" xfId="1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181" fontId="6" fillId="8" borderId="8" xfId="0" applyNumberFormat="1" applyFont="1" applyFill="1" applyBorder="1" applyAlignment="1">
      <alignment horizontal="center" vertical="center"/>
    </xf>
    <xf numFmtId="181" fontId="6" fillId="8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7" fontId="5" fillId="8" borderId="1" xfId="0" applyNumberFormat="1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181" fontId="5" fillId="8" borderId="8" xfId="0" applyNumberFormat="1" applyFont="1" applyFill="1" applyBorder="1" applyAlignment="1">
      <alignment horizontal="center" vertical="center"/>
    </xf>
    <xf numFmtId="181" fontId="5" fillId="8" borderId="1" xfId="0" applyNumberFormat="1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187" fontId="4" fillId="0" borderId="1" xfId="0" applyNumberFormat="1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6" fontId="5" fillId="0" borderId="0" xfId="1" applyNumberFormat="1" applyFont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181" fontId="6" fillId="0" borderId="8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81" fontId="5" fillId="0" borderId="8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186" fontId="5" fillId="0" borderId="0" xfId="1" applyNumberFormat="1" applyFont="1" applyBorder="1" applyAlignment="1">
      <alignment horizontal="center" vertical="center"/>
    </xf>
    <xf numFmtId="181" fontId="6" fillId="8" borderId="1" xfId="0" applyNumberFormat="1" applyFont="1" applyFill="1" applyBorder="1">
      <alignment vertical="center"/>
    </xf>
    <xf numFmtId="0" fontId="16" fillId="0" borderId="0" xfId="0" applyFont="1" applyAlignment="1">
      <alignment horizontal="center" vertical="center" wrapText="1"/>
    </xf>
    <xf numFmtId="181" fontId="5" fillId="8" borderId="1" xfId="0" applyNumberFormat="1" applyFont="1" applyFill="1" applyBorder="1" applyAlignment="1">
      <alignment vertical="center" wrapText="1"/>
    </xf>
    <xf numFmtId="0" fontId="5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187" fontId="4" fillId="8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86" fontId="6" fillId="0" borderId="0" xfId="1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86" fontId="5" fillId="0" borderId="1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9" fillId="9" borderId="21" xfId="0" applyFont="1" applyFill="1" applyBorder="1" applyAlignment="1">
      <alignment horizontal="center" vertical="top" wrapText="1"/>
    </xf>
    <xf numFmtId="0" fontId="19" fillId="10" borderId="21" xfId="0" applyFont="1" applyFill="1" applyBorder="1" applyAlignment="1">
      <alignment horizontal="left" vertical="top" wrapText="1"/>
    </xf>
    <xf numFmtId="0" fontId="19" fillId="10" borderId="21" xfId="0" applyFont="1" applyFill="1" applyBorder="1" applyAlignment="1">
      <alignment horizontal="right" vertical="top" wrapText="1"/>
    </xf>
    <xf numFmtId="0" fontId="18" fillId="0" borderId="1" xfId="0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81" fontId="18" fillId="0" borderId="1" xfId="0" applyNumberFormat="1" applyFont="1" applyBorder="1" applyAlignment="1">
      <alignment horizontal="center" vertical="center"/>
    </xf>
    <xf numFmtId="0" fontId="19" fillId="10" borderId="21" xfId="0" applyFont="1" applyFill="1" applyBorder="1" applyAlignment="1">
      <alignment horizontal="center" vertical="top"/>
    </xf>
    <xf numFmtId="183" fontId="13" fillId="0" borderId="0" xfId="0" applyNumberFormat="1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342900</xdr:colOff>
      <xdr:row>95</xdr:row>
      <xdr:rowOff>63500</xdr:rowOff>
    </xdr:from>
    <xdr:to>
      <xdr:col>40</xdr:col>
      <xdr:colOff>314325</xdr:colOff>
      <xdr:row>165</xdr:row>
      <xdr:rowOff>73025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961CDFF-3731-4DF5-A72C-B8567A61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5029" y="17573171"/>
          <a:ext cx="13872482" cy="133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I2602%20&#53596;&#54540;&#47551;_&#53664;&#51648;&#44148;&#47932;%20-%20&#48373;&#49324;&#48376;%20-%20&#48373;&#49324;&#48376;/1.%20&#44048;&#51221;&#54217;&#44032;&#49436;/&#49328;&#52636;&#44540;&#44144;_&#53664;&#44148;.xlsx" TargetMode="External"/><Relationship Id="rId2" Type="http://schemas.openxmlformats.org/officeDocument/2006/relationships/externalLinkPath" Target="file:///G:\&#45236;%20&#46300;&#46972;&#51060;&#48652;\@HIGHTECH\HI2602%20&#53596;&#54540;&#47551;_&#53664;&#51648;&#44148;&#47932;%20-%20&#48373;&#49324;&#48376;%20-%20&#48373;&#49324;&#48376;\1.%20&#44048;&#51221;&#54217;&#44032;&#49436;\&#49328;&#52636;&#44540;&#44144;_&#53664;&#44148;.xlsx" TargetMode="External"/><Relationship Id="rId1" Type="http://schemas.openxmlformats.org/officeDocument/2006/relationships/externalLinkPath" Target="/&#45236;%20&#46300;&#46972;&#51060;&#48652;/@HIGHTECH/HI2602%20&#53596;&#54540;&#47551;_&#53664;&#51648;&#44148;&#47932;%20-%20&#48373;&#49324;&#48376;%20-%20&#48373;&#49324;&#48376;/1.%20&#44048;&#51221;&#54217;&#44032;&#49436;/&#49328;&#52636;&#44540;&#44144;_&#53664;&#441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토지산출"/>
      <sheetName val="토지산출 (2)"/>
      <sheetName val="건물산출"/>
      <sheetName val="토지거래사례kais"/>
      <sheetName val="Sheet2"/>
      <sheetName val="Sheet1"/>
    </sheetNames>
    <sheetDataSet>
      <sheetData sheetId="0">
        <row r="1">
          <cell r="C1">
            <v>46106</v>
          </cell>
        </row>
      </sheetData>
      <sheetData sheetId="1">
        <row r="2">
          <cell r="H2">
            <v>136</v>
          </cell>
        </row>
      </sheetData>
      <sheetData sheetId="2">
        <row r="15">
          <cell r="P15">
            <v>2527000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0B98-9323-4FD1-867B-28A618EEA3E8}">
  <sheetPr>
    <tabColor rgb="FFFFFF00"/>
  </sheetPr>
  <dimension ref="A1:BD105"/>
  <sheetViews>
    <sheetView showGridLines="0" topLeftCell="B1" zoomScaleNormal="100" workbookViewId="0">
      <selection activeCell="E17" sqref="E17"/>
    </sheetView>
  </sheetViews>
  <sheetFormatPr defaultColWidth="8.5703125" defaultRowHeight="15" outlineLevelRow="2" x14ac:dyDescent="0.55000000000000004"/>
  <cols>
    <col min="1" max="1" width="8.5703125" style="1"/>
    <col min="2" max="2" width="12" style="4" customWidth="1"/>
    <col min="3" max="4" width="14.0703125" style="4" customWidth="1"/>
    <col min="5" max="5" width="15.0703125" style="4" customWidth="1"/>
    <col min="6" max="6" width="13.2109375" style="4" bestFit="1" customWidth="1"/>
    <col min="7" max="7" width="12.2109375" style="4" customWidth="1"/>
    <col min="8" max="8" width="13.35546875" style="4" customWidth="1"/>
    <col min="9" max="9" width="11.5703125" style="4" bestFit="1" customWidth="1"/>
    <col min="10" max="10" width="13.5" style="4" customWidth="1"/>
    <col min="11" max="11" width="11.5703125" style="4" bestFit="1" customWidth="1"/>
    <col min="12" max="12" width="11.7109375" style="4" bestFit="1" customWidth="1"/>
    <col min="13" max="13" width="11.5703125" style="4" bestFit="1" customWidth="1"/>
    <col min="14" max="14" width="10.35546875" style="4" bestFit="1" customWidth="1"/>
    <col min="15" max="15" width="12.5703125" style="4" bestFit="1" customWidth="1"/>
    <col min="16" max="16" width="17.35546875" style="4" bestFit="1" customWidth="1"/>
    <col min="17" max="17" width="12.0703125" style="4" bestFit="1" customWidth="1"/>
    <col min="18" max="18" width="12.85546875" style="4" bestFit="1" customWidth="1"/>
    <col min="19" max="19" width="8.85546875" style="4" bestFit="1" customWidth="1"/>
    <col min="20" max="20" width="12.0703125" style="4" customWidth="1"/>
    <col min="21" max="21" width="10.5703125" style="4" customWidth="1"/>
    <col min="22" max="24" width="8.5703125" style="4"/>
    <col min="25" max="25" width="14.0703125" style="4" customWidth="1"/>
    <col min="26" max="26" width="13.5703125" style="4" bestFit="1" customWidth="1"/>
    <col min="27" max="27" width="8.5703125" style="4"/>
    <col min="28" max="28" width="13.35546875" style="4" customWidth="1"/>
    <col min="29" max="29" width="12.85546875" style="4" customWidth="1"/>
    <col min="30" max="16384" width="8.5703125" style="4"/>
  </cols>
  <sheetData>
    <row r="1" spans="1:54" x14ac:dyDescent="0.55000000000000004">
      <c r="B1" s="2" t="s">
        <v>0</v>
      </c>
      <c r="C1" s="3"/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4" t="s">
        <v>16</v>
      </c>
      <c r="U1" s="5" t="s">
        <v>17</v>
      </c>
      <c r="V1" s="4" t="s">
        <v>18</v>
      </c>
      <c r="X1" s="5" t="s">
        <v>19</v>
      </c>
    </row>
    <row r="2" spans="1:54" x14ac:dyDescent="0.55000000000000004">
      <c r="C2" s="3"/>
      <c r="E2" s="5" t="s">
        <v>20</v>
      </c>
      <c r="F2" s="6" t="s">
        <v>21</v>
      </c>
      <c r="G2" s="5" t="s">
        <v>22</v>
      </c>
      <c r="H2" s="5">
        <v>136</v>
      </c>
      <c r="I2" s="7">
        <v>3389000</v>
      </c>
      <c r="J2" s="5" t="s">
        <v>23</v>
      </c>
      <c r="K2" s="5" t="s">
        <v>24</v>
      </c>
      <c r="L2" s="5" t="s">
        <v>25</v>
      </c>
      <c r="M2" s="5" t="s">
        <v>26</v>
      </c>
      <c r="N2" s="5" t="s">
        <v>27</v>
      </c>
      <c r="O2" s="5" t="s">
        <v>28</v>
      </c>
      <c r="P2" s="5"/>
      <c r="Q2" s="7" t="s">
        <v>29</v>
      </c>
      <c r="R2" s="7">
        <v>0</v>
      </c>
      <c r="S2" s="5" t="s">
        <v>30</v>
      </c>
      <c r="T2" s="8">
        <v>3333000</v>
      </c>
      <c r="U2" s="9">
        <v>3283000</v>
      </c>
      <c r="V2" s="10" t="s">
        <v>31</v>
      </c>
      <c r="W2" s="11" t="e">
        <f>+V2/$E$2</f>
        <v>#VALUE!</v>
      </c>
      <c r="X2" s="12" t="s">
        <v>32</v>
      </c>
      <c r="Y2" s="13">
        <v>6850000000</v>
      </c>
      <c r="Z2" s="11" t="e">
        <f>+Y2/$E$2</f>
        <v>#VALUE!</v>
      </c>
    </row>
    <row r="3" spans="1:54" x14ac:dyDescent="0.55000000000000004">
      <c r="B3" s="4" t="s">
        <v>33</v>
      </c>
      <c r="C3" s="14">
        <v>46078</v>
      </c>
      <c r="F3" s="15"/>
      <c r="I3" s="8"/>
      <c r="Q3" s="8"/>
      <c r="R3" s="8"/>
      <c r="T3" s="8"/>
      <c r="U3" s="8"/>
      <c r="V3" s="16"/>
      <c r="W3" s="11"/>
      <c r="X3" s="12"/>
      <c r="Y3" s="13"/>
      <c r="Z3" s="11"/>
    </row>
    <row r="4" spans="1:54" x14ac:dyDescent="0.55000000000000004">
      <c r="C4" s="17">
        <v>7040000</v>
      </c>
      <c r="X4" s="5" t="s">
        <v>34</v>
      </c>
      <c r="Y4" s="18">
        <v>410000000</v>
      </c>
      <c r="AA4" s="5" t="s">
        <v>34</v>
      </c>
      <c r="AB4" s="19">
        <v>440000000</v>
      </c>
    </row>
    <row r="5" spans="1:54" x14ac:dyDescent="0.55000000000000004">
      <c r="B5" s="20" t="s">
        <v>35</v>
      </c>
      <c r="C5" s="21" t="s">
        <v>36</v>
      </c>
      <c r="D5" s="21" t="s">
        <v>37</v>
      </c>
      <c r="E5" s="21" t="s">
        <v>38</v>
      </c>
      <c r="F5" s="5" t="s">
        <v>39</v>
      </c>
      <c r="G5" s="5" t="s">
        <v>40</v>
      </c>
      <c r="H5" s="5" t="s">
        <v>19</v>
      </c>
      <c r="I5" s="5" t="s">
        <v>40</v>
      </c>
      <c r="X5" s="5"/>
      <c r="Y5" s="18"/>
      <c r="AA5" s="5"/>
      <c r="AB5" s="18"/>
    </row>
    <row r="6" spans="1:54" x14ac:dyDescent="0.55000000000000004">
      <c r="B6" s="22" t="s">
        <v>32</v>
      </c>
      <c r="C6" s="23">
        <f>+G27</f>
        <v>7060000</v>
      </c>
      <c r="D6" s="24">
        <f>+C6*H2</f>
        <v>960160000</v>
      </c>
      <c r="E6" s="25">
        <f>+D6+D7</f>
        <v>962687000</v>
      </c>
      <c r="F6" s="26" t="e">
        <f>+Y8</f>
        <v>#VALUE!</v>
      </c>
      <c r="G6" s="27" t="e">
        <f>+E6/F6</f>
        <v>#VALUE!</v>
      </c>
      <c r="H6" s="28">
        <v>19000000</v>
      </c>
      <c r="I6" s="29">
        <f>+C6/H6</f>
        <v>0.37157894736842106</v>
      </c>
      <c r="X6" s="5" t="s">
        <v>41</v>
      </c>
      <c r="Y6" s="18">
        <v>80000000</v>
      </c>
      <c r="AA6" s="5" t="s">
        <v>41</v>
      </c>
      <c r="AB6" s="19">
        <v>90000000</v>
      </c>
    </row>
    <row r="7" spans="1:54" x14ac:dyDescent="0.55000000000000004">
      <c r="B7" s="22" t="s">
        <v>42</v>
      </c>
      <c r="C7" s="21"/>
      <c r="D7" s="24">
        <f>+[1]건물산출!P15</f>
        <v>2527000</v>
      </c>
      <c r="E7" s="30"/>
      <c r="H7" s="31">
        <f>+[1]건물산출!K3</f>
        <v>0</v>
      </c>
      <c r="I7" s="29" t="e">
        <f>+D7/H7</f>
        <v>#DIV/0!</v>
      </c>
      <c r="X7" s="5" t="s">
        <v>43</v>
      </c>
      <c r="Y7" s="10">
        <f>+Y6+Y4</f>
        <v>490000000</v>
      </c>
      <c r="AA7" s="5" t="s">
        <v>43</v>
      </c>
      <c r="AB7" s="10">
        <f>+AB6+AB4</f>
        <v>530000000</v>
      </c>
    </row>
    <row r="8" spans="1:54" ht="15.45" thickBot="1" x14ac:dyDescent="0.6">
      <c r="X8" s="5" t="s">
        <v>44</v>
      </c>
      <c r="Y8" s="18" t="e">
        <f>+Y7+V2</f>
        <v>#VALUE!</v>
      </c>
      <c r="AA8" s="5" t="s">
        <v>44</v>
      </c>
      <c r="AB8" s="18">
        <f>+AB7+Y2</f>
        <v>7380000000</v>
      </c>
    </row>
    <row r="9" spans="1:54" s="37" customFormat="1" ht="15.45" thickTop="1" x14ac:dyDescent="0.55000000000000004">
      <c r="A9" s="32"/>
      <c r="B9" s="33" t="s">
        <v>45</v>
      </c>
      <c r="C9" s="34"/>
      <c r="D9" s="34"/>
      <c r="E9" s="34"/>
      <c r="F9" s="34"/>
      <c r="G9" s="34"/>
      <c r="H9" s="34"/>
      <c r="I9" s="35"/>
      <c r="J9" s="35"/>
      <c r="K9" s="35"/>
      <c r="L9" s="35"/>
      <c r="M9" s="35"/>
      <c r="N9" s="35"/>
      <c r="O9" s="35"/>
      <c r="P9" s="36"/>
    </row>
    <row r="10" spans="1:54" ht="30" x14ac:dyDescent="0.55000000000000004">
      <c r="B10" s="38" t="s">
        <v>46</v>
      </c>
      <c r="C10" s="39" t="s">
        <v>47</v>
      </c>
      <c r="D10" s="39" t="s">
        <v>48</v>
      </c>
      <c r="E10" s="39" t="s">
        <v>49</v>
      </c>
      <c r="F10" s="5" t="s">
        <v>1</v>
      </c>
      <c r="G10" s="5" t="s">
        <v>2</v>
      </c>
      <c r="H10" s="5" t="s">
        <v>3</v>
      </c>
      <c r="I10" s="5" t="s">
        <v>4</v>
      </c>
      <c r="J10" s="5" t="s">
        <v>50</v>
      </c>
      <c r="K10" s="5" t="s">
        <v>6</v>
      </c>
      <c r="L10" s="5" t="s">
        <v>51</v>
      </c>
      <c r="M10" s="5" t="s">
        <v>52</v>
      </c>
      <c r="N10" s="5" t="s">
        <v>53</v>
      </c>
      <c r="O10" s="5" t="s">
        <v>5</v>
      </c>
      <c r="P10" s="40" t="s">
        <v>54</v>
      </c>
      <c r="Q10" s="41" t="s">
        <v>55</v>
      </c>
      <c r="R10" s="5" t="s">
        <v>56</v>
      </c>
      <c r="S10" s="5" t="s">
        <v>57</v>
      </c>
      <c r="T10" s="5" t="s">
        <v>58</v>
      </c>
      <c r="U10" s="5" t="s">
        <v>8</v>
      </c>
      <c r="V10" s="5" t="s">
        <v>7</v>
      </c>
      <c r="W10" s="5" t="s">
        <v>9</v>
      </c>
      <c r="X10" s="5" t="s">
        <v>16</v>
      </c>
      <c r="Y10" s="5" t="s">
        <v>59</v>
      </c>
      <c r="Z10" s="5" t="s">
        <v>60</v>
      </c>
      <c r="AA10" s="5" t="s">
        <v>61</v>
      </c>
      <c r="AB10" s="5" t="s">
        <v>62</v>
      </c>
      <c r="AC10" s="5" t="s">
        <v>13</v>
      </c>
      <c r="AD10" s="5" t="s">
        <v>14</v>
      </c>
      <c r="AE10" s="5" t="s">
        <v>63</v>
      </c>
      <c r="AF10" s="5" t="s">
        <v>64</v>
      </c>
      <c r="AG10" s="5" t="s">
        <v>12</v>
      </c>
      <c r="AH10" s="5" t="s">
        <v>65</v>
      </c>
      <c r="AI10" s="5" t="s">
        <v>66</v>
      </c>
      <c r="AJ10" s="5" t="s">
        <v>67</v>
      </c>
      <c r="AK10" s="5" t="s">
        <v>68</v>
      </c>
      <c r="AL10" s="5" t="s">
        <v>69</v>
      </c>
      <c r="AM10" s="5" t="s">
        <v>70</v>
      </c>
      <c r="AN10" s="5" t="s">
        <v>71</v>
      </c>
      <c r="AO10" s="5" t="s">
        <v>72</v>
      </c>
      <c r="AP10" s="39" t="s">
        <v>73</v>
      </c>
      <c r="AQ10" s="5" t="s">
        <v>74</v>
      </c>
      <c r="AR10" s="39" t="s">
        <v>75</v>
      </c>
      <c r="AS10" s="5" t="s">
        <v>76</v>
      </c>
      <c r="AT10" s="5" t="s">
        <v>77</v>
      </c>
      <c r="AU10" s="5" t="s">
        <v>78</v>
      </c>
      <c r="AV10" s="5" t="s">
        <v>79</v>
      </c>
      <c r="AW10" s="39" t="s">
        <v>80</v>
      </c>
      <c r="AX10" s="39" t="s">
        <v>81</v>
      </c>
      <c r="AY10" s="39" t="s">
        <v>82</v>
      </c>
      <c r="AZ10" s="39" t="s">
        <v>83</v>
      </c>
      <c r="BA10" s="39" t="s">
        <v>84</v>
      </c>
      <c r="BB10" s="5" t="s">
        <v>85</v>
      </c>
    </row>
    <row r="11" spans="1:54" x14ac:dyDescent="0.55000000000000004">
      <c r="B11" s="42" t="s">
        <v>86</v>
      </c>
      <c r="C11" s="5">
        <v>2026</v>
      </c>
      <c r="D11" s="5">
        <v>11560</v>
      </c>
      <c r="E11" s="5">
        <v>1098</v>
      </c>
      <c r="F11" s="5" t="s">
        <v>87</v>
      </c>
      <c r="G11" s="43" t="s">
        <v>88</v>
      </c>
      <c r="H11" s="5" t="s">
        <v>22</v>
      </c>
      <c r="I11" s="5">
        <v>126</v>
      </c>
      <c r="J11" s="5">
        <v>0</v>
      </c>
      <c r="K11" s="5" t="s">
        <v>89</v>
      </c>
      <c r="L11" s="5"/>
      <c r="M11" s="5" t="s">
        <v>27</v>
      </c>
      <c r="N11" s="5" t="s">
        <v>29</v>
      </c>
      <c r="O11" s="7">
        <v>3533000</v>
      </c>
      <c r="P11" s="40" t="s">
        <v>90</v>
      </c>
      <c r="Q11" s="41"/>
      <c r="R11" s="5" t="s">
        <v>91</v>
      </c>
      <c r="S11" s="5" t="s">
        <v>92</v>
      </c>
      <c r="T11" s="5" t="s">
        <v>28</v>
      </c>
      <c r="U11" s="5" t="s">
        <v>25</v>
      </c>
      <c r="V11" s="5" t="s">
        <v>24</v>
      </c>
      <c r="W11" s="5" t="s">
        <v>26</v>
      </c>
      <c r="X11" s="7">
        <v>3389000</v>
      </c>
      <c r="Y11" s="7">
        <v>3333000</v>
      </c>
      <c r="Z11" s="7">
        <v>3283000</v>
      </c>
      <c r="AA11" s="7">
        <v>3550000</v>
      </c>
      <c r="AB11" s="7">
        <v>3165000</v>
      </c>
      <c r="AC11" s="5" t="s">
        <v>29</v>
      </c>
      <c r="AD11" s="5"/>
      <c r="AE11" s="5" t="s">
        <v>93</v>
      </c>
      <c r="AF11" s="5" t="s">
        <v>94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 t="s">
        <v>95</v>
      </c>
      <c r="AW11" s="5" t="s">
        <v>96</v>
      </c>
      <c r="AX11" s="5" t="s">
        <v>96</v>
      </c>
      <c r="AY11" s="5" t="s">
        <v>96</v>
      </c>
      <c r="AZ11" s="5" t="s">
        <v>96</v>
      </c>
      <c r="BA11" s="5" t="s">
        <v>96</v>
      </c>
      <c r="BB11" s="5" t="s">
        <v>96</v>
      </c>
    </row>
    <row r="12" spans="1:54" x14ac:dyDescent="0.55000000000000004">
      <c r="B12" s="44"/>
      <c r="P12" s="45"/>
    </row>
    <row r="13" spans="1:54" s="37" customFormat="1" x14ac:dyDescent="0.55000000000000004">
      <c r="A13" s="32"/>
      <c r="B13" s="46" t="s">
        <v>97</v>
      </c>
      <c r="C13" s="47">
        <f>VALUE(RIGHT(B14,7))</f>
        <v>1.00911</v>
      </c>
      <c r="D13" s="48"/>
      <c r="E13" s="48"/>
      <c r="F13" s="48"/>
      <c r="G13" s="48"/>
      <c r="H13" s="48"/>
      <c r="J13" s="47" t="s">
        <v>98</v>
      </c>
      <c r="K13" s="48"/>
      <c r="L13" s="48"/>
      <c r="M13" s="48"/>
      <c r="N13" s="48"/>
      <c r="O13" s="48"/>
      <c r="P13" s="49"/>
    </row>
    <row r="14" spans="1:54" ht="16" customHeight="1" x14ac:dyDescent="0.55000000000000004">
      <c r="B14" s="50" t="s">
        <v>99</v>
      </c>
      <c r="C14" s="50"/>
      <c r="D14" s="50"/>
      <c r="E14" s="50"/>
      <c r="F14" s="50"/>
      <c r="G14" s="50"/>
      <c r="H14" s="50"/>
      <c r="J14" s="51">
        <v>2</v>
      </c>
      <c r="K14" s="52">
        <f>+VLOOKUP(J14,$B$47:$AK$52,12,0)</f>
        <v>6730000</v>
      </c>
      <c r="L14" s="53">
        <f>+VLOOKUP(J14,$B$47:$AK$52,17,0)</f>
        <v>1.02952</v>
      </c>
      <c r="M14" s="29">
        <f>+P20</f>
        <v>1.02</v>
      </c>
      <c r="N14" s="54">
        <f>+PRODUCT(K14:M14)</f>
        <v>7067242.9919999996</v>
      </c>
      <c r="O14" s="55">
        <f>N14/N15</f>
        <v>1.9822931329384943</v>
      </c>
      <c r="P14" s="56">
        <f>+ROUNDDOWN(O14,2)</f>
        <v>1.98</v>
      </c>
      <c r="R14" s="37"/>
      <c r="S14" s="37"/>
      <c r="T14" s="37"/>
      <c r="U14" s="37"/>
      <c r="V14" s="37"/>
      <c r="W14" s="37"/>
      <c r="X14" s="37"/>
      <c r="Y14" s="37"/>
    </row>
    <row r="15" spans="1:54" x14ac:dyDescent="0.55000000000000004">
      <c r="B15" s="50"/>
      <c r="C15" s="50"/>
      <c r="D15" s="50"/>
      <c r="E15" s="50"/>
      <c r="F15" s="50"/>
      <c r="G15" s="50"/>
      <c r="H15" s="50"/>
      <c r="J15" s="5" t="s">
        <v>100</v>
      </c>
      <c r="K15" s="52">
        <f>+O11</f>
        <v>3533000</v>
      </c>
      <c r="L15" s="5">
        <f>+C13</f>
        <v>1.00911</v>
      </c>
      <c r="M15" s="29">
        <v>1</v>
      </c>
      <c r="N15" s="54">
        <f>+PRODUCT(K15:L15)</f>
        <v>3565185.63</v>
      </c>
      <c r="O15" s="55"/>
      <c r="P15" s="56"/>
      <c r="R15" s="37"/>
      <c r="S15" s="37"/>
      <c r="T15" s="37"/>
      <c r="U15" s="37"/>
      <c r="V15" s="37"/>
      <c r="W15" s="37"/>
      <c r="X15" s="37"/>
      <c r="Y15" s="37"/>
    </row>
    <row r="16" spans="1:54" x14ac:dyDescent="0.55000000000000004">
      <c r="B16" s="57"/>
      <c r="P16" s="45"/>
      <c r="R16" s="37"/>
      <c r="S16" s="37"/>
      <c r="T16" s="37"/>
      <c r="U16" s="37"/>
      <c r="V16" s="37"/>
      <c r="W16" s="37"/>
      <c r="X16" s="37"/>
      <c r="Y16" s="37"/>
    </row>
    <row r="17" spans="1:25" x14ac:dyDescent="0.55000000000000004">
      <c r="B17" s="58"/>
      <c r="C17" s="1"/>
      <c r="D17" s="1"/>
      <c r="E17" s="1"/>
      <c r="F17" s="1"/>
      <c r="G17" s="1"/>
      <c r="P17" s="45"/>
      <c r="R17" s="37"/>
      <c r="S17" s="37"/>
      <c r="T17" s="37"/>
      <c r="U17" s="37"/>
      <c r="V17" s="37"/>
      <c r="W17" s="37"/>
      <c r="X17" s="37"/>
      <c r="Y17" s="37"/>
    </row>
    <row r="18" spans="1:25" s="37" customFormat="1" x14ac:dyDescent="0.55000000000000004">
      <c r="A18" s="32"/>
      <c r="B18" s="46" t="s">
        <v>101</v>
      </c>
      <c r="C18" s="48" t="s">
        <v>102</v>
      </c>
      <c r="D18" s="48"/>
      <c r="E18" s="48"/>
      <c r="F18" s="48"/>
      <c r="G18" s="48"/>
      <c r="H18" s="48"/>
      <c r="J18" s="47" t="s">
        <v>101</v>
      </c>
      <c r="K18" s="48" t="s">
        <v>103</v>
      </c>
      <c r="L18" s="48">
        <v>1</v>
      </c>
      <c r="M18" s="48"/>
      <c r="N18" s="48"/>
      <c r="O18" s="48"/>
      <c r="P18" s="49"/>
    </row>
    <row r="19" spans="1:25" s="37" customFormat="1" x14ac:dyDescent="0.55000000000000004">
      <c r="A19" s="32"/>
      <c r="B19" s="42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  <c r="G19" s="5" t="s">
        <v>109</v>
      </c>
      <c r="H19" s="5" t="s">
        <v>110</v>
      </c>
      <c r="J19" s="5" t="s">
        <v>104</v>
      </c>
      <c r="K19" s="5" t="s">
        <v>105</v>
      </c>
      <c r="L19" s="5" t="s">
        <v>106</v>
      </c>
      <c r="M19" s="5" t="s">
        <v>107</v>
      </c>
      <c r="N19" s="5" t="s">
        <v>108</v>
      </c>
      <c r="O19" s="5" t="s">
        <v>109</v>
      </c>
      <c r="P19" s="40" t="s">
        <v>110</v>
      </c>
    </row>
    <row r="20" spans="1:25" s="37" customFormat="1" x14ac:dyDescent="0.55000000000000004">
      <c r="A20" s="32"/>
      <c r="B20" s="59">
        <v>1</v>
      </c>
      <c r="C20" s="60">
        <v>1</v>
      </c>
      <c r="D20" s="60">
        <v>1</v>
      </c>
      <c r="E20" s="60">
        <v>1</v>
      </c>
      <c r="F20" s="60">
        <v>1</v>
      </c>
      <c r="G20" s="60">
        <v>1</v>
      </c>
      <c r="H20" s="61">
        <f>+ROUND(PRODUCT(B20:G20),3)</f>
        <v>1</v>
      </c>
      <c r="J20" s="60">
        <v>1.02</v>
      </c>
      <c r="K20" s="60">
        <v>1</v>
      </c>
      <c r="L20" s="60">
        <v>1</v>
      </c>
      <c r="M20" s="60">
        <v>1</v>
      </c>
      <c r="N20" s="60">
        <v>1</v>
      </c>
      <c r="O20" s="60">
        <v>1</v>
      </c>
      <c r="P20" s="62">
        <f>+ROUND(PRODUCT(J20:O20),3)</f>
        <v>1.02</v>
      </c>
    </row>
    <row r="21" spans="1:25" s="37" customFormat="1" x14ac:dyDescent="0.55000000000000004">
      <c r="A21" s="32"/>
      <c r="B21" s="57"/>
      <c r="E21" s="32" t="s">
        <v>111</v>
      </c>
      <c r="K21" s="32"/>
      <c r="M21" s="32" t="s">
        <v>112</v>
      </c>
      <c r="P21" s="63"/>
    </row>
    <row r="22" spans="1:25" s="37" customFormat="1" x14ac:dyDescent="0.55000000000000004">
      <c r="A22" s="32"/>
      <c r="B22" s="42" t="s">
        <v>113</v>
      </c>
      <c r="C22" s="5" t="str">
        <f>+O2</f>
        <v>세로(가)</v>
      </c>
      <c r="D22" s="5" t="str">
        <f>+L2</f>
        <v>세장형</v>
      </c>
      <c r="E22" s="5" t="str">
        <f>+K2</f>
        <v>평지</v>
      </c>
      <c r="F22" s="5" t="str">
        <f>+N2</f>
        <v>2종일주</v>
      </c>
      <c r="G22" s="5" t="str">
        <f>+G2</f>
        <v>대</v>
      </c>
      <c r="H22" s="7" t="str">
        <f>+Q2</f>
        <v>없음</v>
      </c>
      <c r="J22" s="5" t="str">
        <f>+B23</f>
        <v>표준지</v>
      </c>
      <c r="K22" s="5" t="str">
        <f>+$C$23</f>
        <v>세로(가)</v>
      </c>
      <c r="L22" s="5" t="str">
        <f>+$D$23</f>
        <v>세장형</v>
      </c>
      <c r="M22" s="5" t="str">
        <f>+$E$23</f>
        <v>평지</v>
      </c>
      <c r="N22" s="5" t="str">
        <f>+$F$23</f>
        <v>2종일주</v>
      </c>
      <c r="O22" s="5"/>
      <c r="P22" s="64">
        <f>+$H$23</f>
        <v>3533000</v>
      </c>
    </row>
    <row r="23" spans="1:25" s="37" customFormat="1" x14ac:dyDescent="0.55000000000000004">
      <c r="A23" s="32"/>
      <c r="B23" s="42" t="s">
        <v>100</v>
      </c>
      <c r="C23" s="5" t="str">
        <f>+T11</f>
        <v>세로(가)</v>
      </c>
      <c r="D23" s="5" t="str">
        <f>+U11</f>
        <v>세장형</v>
      </c>
      <c r="E23" s="5" t="str">
        <f>+V11</f>
        <v>평지</v>
      </c>
      <c r="F23" s="5" t="str">
        <f>+M11</f>
        <v>2종일주</v>
      </c>
      <c r="G23" s="5" t="str">
        <f>+H11</f>
        <v>대</v>
      </c>
      <c r="H23" s="7">
        <f>+O11</f>
        <v>3533000</v>
      </c>
      <c r="J23" s="5" t="s">
        <v>114</v>
      </c>
      <c r="K23" s="5" t="str">
        <f>+VLOOKUP($J$14,$B$47:$X$54,21)</f>
        <v>세로(가)</v>
      </c>
      <c r="L23" s="5" t="str">
        <f>+VLOOKUP($J$14,$B$47:$X$54,22)</f>
        <v>세장형</v>
      </c>
      <c r="M23" s="5" t="str">
        <f>+VLOOKUP($J$14,$B$47:$X$54,23)</f>
        <v>평지</v>
      </c>
      <c r="N23" s="5"/>
      <c r="O23" s="5"/>
      <c r="P23" s="64">
        <v>10110000</v>
      </c>
    </row>
    <row r="24" spans="1:25" s="37" customFormat="1" x14ac:dyDescent="0.55000000000000004">
      <c r="A24" s="32"/>
      <c r="B24" s="44"/>
      <c r="C24" s="4"/>
      <c r="D24" s="4"/>
      <c r="E24" s="4"/>
      <c r="F24" s="4"/>
      <c r="G24" s="4"/>
      <c r="H24" s="8"/>
      <c r="J24" s="4"/>
      <c r="K24" s="4"/>
      <c r="L24" s="4"/>
      <c r="M24" s="4"/>
      <c r="N24" s="4"/>
      <c r="O24" s="4"/>
      <c r="P24" s="65"/>
    </row>
    <row r="25" spans="1:25" s="37" customFormat="1" x14ac:dyDescent="0.55000000000000004">
      <c r="A25" s="32"/>
      <c r="B25" s="66" t="s">
        <v>115</v>
      </c>
      <c r="C25" s="67"/>
      <c r="D25" s="67" t="s">
        <v>116</v>
      </c>
      <c r="E25" s="68" t="e">
        <f>+W2</f>
        <v>#VALUE!</v>
      </c>
      <c r="F25" s="69" t="e">
        <f>+G27/E25</f>
        <v>#VALUE!</v>
      </c>
      <c r="G25" s="67"/>
      <c r="H25" s="67"/>
      <c r="J25" s="4"/>
      <c r="K25" s="4"/>
      <c r="L25" s="4"/>
      <c r="M25" s="4"/>
      <c r="N25" s="4"/>
      <c r="O25" s="4"/>
      <c r="P25" s="70"/>
    </row>
    <row r="26" spans="1:25" s="37" customFormat="1" x14ac:dyDescent="0.55000000000000004">
      <c r="A26" s="32"/>
      <c r="B26" s="71" t="s">
        <v>100</v>
      </c>
      <c r="C26" s="5" t="s">
        <v>117</v>
      </c>
      <c r="D26" s="5" t="s">
        <v>118</v>
      </c>
      <c r="E26" s="72" t="s">
        <v>119</v>
      </c>
      <c r="F26" s="5" t="s">
        <v>120</v>
      </c>
      <c r="G26" s="5" t="s">
        <v>121</v>
      </c>
      <c r="H26" s="5" t="s">
        <v>122</v>
      </c>
      <c r="J26" s="4"/>
      <c r="K26" s="4"/>
      <c r="L26" s="4"/>
      <c r="M26" s="4"/>
      <c r="N26" s="4"/>
      <c r="O26" s="4"/>
      <c r="P26" s="70"/>
    </row>
    <row r="27" spans="1:25" s="37" customFormat="1" ht="15.45" thickBot="1" x14ac:dyDescent="0.6">
      <c r="A27" s="32"/>
      <c r="B27" s="73">
        <f>+O11</f>
        <v>3533000</v>
      </c>
      <c r="C27" s="74">
        <f>+C13</f>
        <v>1.00911</v>
      </c>
      <c r="D27" s="75">
        <f>+H20</f>
        <v>1</v>
      </c>
      <c r="E27" s="76">
        <f>+P14</f>
        <v>1.98</v>
      </c>
      <c r="F27" s="77">
        <f>PRODUCT(B27:E27)</f>
        <v>7059067.5473999996</v>
      </c>
      <c r="G27" s="78">
        <f>+ROUND(F27,-4)</f>
        <v>7060000</v>
      </c>
      <c r="H27" s="79">
        <f>+G27*$H$2</f>
        <v>960160000</v>
      </c>
      <c r="I27" s="80"/>
      <c r="J27" s="81"/>
      <c r="K27" s="81"/>
      <c r="L27" s="81"/>
      <c r="M27" s="81"/>
      <c r="N27" s="81"/>
      <c r="O27" s="81"/>
      <c r="P27" s="82"/>
    </row>
    <row r="28" spans="1:25" s="37" customFormat="1" ht="9.5500000000000007" customHeight="1" thickTop="1" x14ac:dyDescent="0.55000000000000004">
      <c r="A28" s="32"/>
      <c r="B28" s="8"/>
      <c r="C28" s="4"/>
      <c r="D28" s="83"/>
      <c r="E28" s="84"/>
      <c r="F28" s="85"/>
      <c r="G28" s="86"/>
      <c r="H28" s="87"/>
      <c r="J28" s="4"/>
      <c r="K28" s="4"/>
      <c r="L28" s="4"/>
      <c r="M28" s="4"/>
      <c r="N28" s="4"/>
      <c r="O28" s="4"/>
      <c r="P28" s="88"/>
    </row>
    <row r="29" spans="1:25" s="37" customFormat="1" ht="9.5500000000000007" customHeight="1" x14ac:dyDescent="0.55000000000000004">
      <c r="A29" s="32"/>
      <c r="B29" s="4"/>
      <c r="C29" s="4"/>
      <c r="D29" s="4"/>
      <c r="E29" s="4"/>
      <c r="F29" s="17"/>
      <c r="G29" s="4"/>
      <c r="H29" s="8"/>
      <c r="J29" s="4"/>
      <c r="K29" s="4"/>
      <c r="L29" s="4"/>
      <c r="M29" s="4"/>
      <c r="N29" s="4"/>
      <c r="O29" s="4"/>
      <c r="P29" s="88"/>
    </row>
    <row r="30" spans="1:25" ht="15.45" thickBot="1" x14ac:dyDescent="0.6"/>
    <row r="31" spans="1:25" s="37" customFormat="1" ht="15.45" thickTop="1" x14ac:dyDescent="0.55000000000000004">
      <c r="A31" s="32"/>
      <c r="B31" s="89" t="s">
        <v>123</v>
      </c>
      <c r="C31" s="90">
        <f>+B33</f>
        <v>3</v>
      </c>
      <c r="D31" s="91" t="s">
        <v>124</v>
      </c>
      <c r="E31" s="92">
        <f>+$G$27</f>
        <v>7060000</v>
      </c>
      <c r="F31" s="93" t="s">
        <v>125</v>
      </c>
      <c r="G31" s="94">
        <f>+E31/G33</f>
        <v>0.96316507503410642</v>
      </c>
      <c r="H31" s="95"/>
      <c r="J31" s="4"/>
      <c r="K31" s="4"/>
      <c r="L31" s="4"/>
      <c r="M31" s="4"/>
      <c r="N31" s="4"/>
      <c r="O31" s="4"/>
      <c r="P31" s="88"/>
    </row>
    <row r="32" spans="1:25" s="37" customFormat="1" x14ac:dyDescent="0.55000000000000004">
      <c r="A32" s="32"/>
      <c r="B32" s="71" t="s">
        <v>126</v>
      </c>
      <c r="C32" s="21" t="s">
        <v>127</v>
      </c>
      <c r="D32" s="5" t="s">
        <v>117</v>
      </c>
      <c r="E32" s="5" t="s">
        <v>118</v>
      </c>
      <c r="F32" s="5" t="s">
        <v>120</v>
      </c>
      <c r="G32" s="5" t="s">
        <v>121</v>
      </c>
      <c r="H32" s="40" t="s">
        <v>122</v>
      </c>
      <c r="I32" s="4"/>
      <c r="J32" s="4"/>
      <c r="K32" s="4"/>
      <c r="L32" s="4"/>
      <c r="M32" s="4"/>
      <c r="N32" s="4"/>
      <c r="O32" s="88"/>
    </row>
    <row r="33" spans="1:37" s="37" customFormat="1" ht="15.45" thickBot="1" x14ac:dyDescent="0.6">
      <c r="A33" s="32"/>
      <c r="B33" s="96">
        <v>3</v>
      </c>
      <c r="C33" s="78">
        <f>+VLOOKUP($B33,$B$62:$T$101,17)</f>
        <v>7328143.1034482755</v>
      </c>
      <c r="D33" s="97">
        <f>+VLOOKUP($B33,$B$62:$T$98,18)</f>
        <v>1.0310699999999999</v>
      </c>
      <c r="E33" s="75">
        <f>+_xlfn.XLOOKUP(B33,$B$62:$B$89,$AB$62:$AB$89,0)</f>
        <v>0.97</v>
      </c>
      <c r="F33" s="77">
        <f>+PRODUCT(C33:E33)</f>
        <v>7329153.65438224</v>
      </c>
      <c r="G33" s="78">
        <f>+ROUND(F33,-4)</f>
        <v>7330000</v>
      </c>
      <c r="H33" s="79">
        <f>+G33*$H$2</f>
        <v>996880000</v>
      </c>
      <c r="I33" s="4"/>
      <c r="J33" s="4"/>
      <c r="K33" s="4"/>
      <c r="L33" s="4"/>
      <c r="M33" s="4"/>
      <c r="N33" s="4"/>
      <c r="O33" s="88"/>
    </row>
    <row r="34" spans="1:37" s="37" customFormat="1" ht="15.45" thickTop="1" x14ac:dyDescent="0.55000000000000004">
      <c r="A34" s="32"/>
      <c r="B34" s="98"/>
      <c r="C34" s="86"/>
      <c r="D34" s="99"/>
      <c r="E34" s="83"/>
      <c r="F34" s="85"/>
      <c r="G34" s="86"/>
      <c r="H34" s="87"/>
      <c r="I34" s="4"/>
      <c r="J34" s="4"/>
      <c r="K34" s="4"/>
      <c r="L34" s="4"/>
      <c r="M34" s="4"/>
      <c r="N34" s="4"/>
      <c r="O34" s="88"/>
    </row>
    <row r="35" spans="1:37" x14ac:dyDescent="0.55000000000000004">
      <c r="B35" s="4">
        <v>1</v>
      </c>
      <c r="C35" s="4">
        <v>2</v>
      </c>
      <c r="D35" s="4">
        <v>3</v>
      </c>
      <c r="E35" s="4">
        <v>4</v>
      </c>
      <c r="F35" s="4">
        <v>5</v>
      </c>
      <c r="G35" s="4">
        <v>6</v>
      </c>
      <c r="H35" s="4">
        <v>7</v>
      </c>
      <c r="I35" s="4">
        <v>8</v>
      </c>
      <c r="J35" s="4">
        <v>9</v>
      </c>
      <c r="K35" s="4">
        <v>10</v>
      </c>
      <c r="L35" s="4">
        <v>11</v>
      </c>
      <c r="M35" s="4">
        <v>12</v>
      </c>
      <c r="N35" s="4">
        <v>13</v>
      </c>
      <c r="O35" s="4">
        <v>14</v>
      </c>
      <c r="P35" s="4">
        <v>15</v>
      </c>
      <c r="Q35" s="4">
        <v>16</v>
      </c>
      <c r="R35" s="4">
        <v>17</v>
      </c>
      <c r="S35" s="4">
        <v>18</v>
      </c>
      <c r="T35" s="4">
        <v>19</v>
      </c>
      <c r="U35" s="4">
        <v>20</v>
      </c>
      <c r="V35" s="4">
        <v>21</v>
      </c>
      <c r="W35" s="4">
        <v>22</v>
      </c>
    </row>
    <row r="36" spans="1:37" s="37" customFormat="1" outlineLevel="1" x14ac:dyDescent="0.55000000000000004">
      <c r="A36" s="32"/>
      <c r="B36" s="47" t="s">
        <v>128</v>
      </c>
      <c r="C36" s="47">
        <f>VALUE(RIGHT(B56,7))</f>
        <v>1.00911</v>
      </c>
      <c r="D36" s="48"/>
      <c r="E36" s="48"/>
      <c r="F36" s="48"/>
      <c r="G36" s="48"/>
      <c r="H36" s="48"/>
      <c r="R36" s="2" t="s">
        <v>129</v>
      </c>
      <c r="S36" s="4"/>
      <c r="T36" s="4"/>
      <c r="U36" s="4"/>
      <c r="V36" s="4"/>
    </row>
    <row r="37" spans="1:37" s="101" customFormat="1" ht="30" hidden="1" outlineLevel="2" x14ac:dyDescent="0.55000000000000004">
      <c r="A37" s="100"/>
      <c r="B37" s="101" t="s">
        <v>130</v>
      </c>
      <c r="C37" s="101" t="s">
        <v>131</v>
      </c>
      <c r="D37" s="101" t="s">
        <v>132</v>
      </c>
      <c r="E37" s="101" t="s">
        <v>133</v>
      </c>
      <c r="F37" s="101" t="s">
        <v>134</v>
      </c>
      <c r="G37" s="101" t="s">
        <v>1</v>
      </c>
      <c r="H37" s="101" t="s">
        <v>2</v>
      </c>
      <c r="I37" s="101" t="s">
        <v>2</v>
      </c>
      <c r="J37" s="101" t="s">
        <v>135</v>
      </c>
      <c r="K37" s="101" t="s">
        <v>4</v>
      </c>
      <c r="L37" s="102" t="s">
        <v>136</v>
      </c>
      <c r="M37" s="101" t="s">
        <v>137</v>
      </c>
      <c r="N37" s="101" t="s">
        <v>138</v>
      </c>
      <c r="O37" s="102" t="s">
        <v>139</v>
      </c>
      <c r="P37" s="103" t="s">
        <v>140</v>
      </c>
      <c r="Q37" s="103" t="s">
        <v>141</v>
      </c>
      <c r="R37" s="103" t="s">
        <v>142</v>
      </c>
      <c r="S37" s="103" t="s">
        <v>143</v>
      </c>
      <c r="T37" s="101" t="s">
        <v>144</v>
      </c>
      <c r="U37" s="101" t="s">
        <v>145</v>
      </c>
      <c r="V37" s="101" t="s">
        <v>146</v>
      </c>
      <c r="W37" s="102" t="s">
        <v>147</v>
      </c>
      <c r="X37" s="102" t="s">
        <v>148</v>
      </c>
      <c r="Y37" s="101" t="s">
        <v>149</v>
      </c>
      <c r="Z37" s="101" t="s">
        <v>150</v>
      </c>
      <c r="AA37" s="101" t="s">
        <v>151</v>
      </c>
      <c r="AB37" s="102" t="s">
        <v>152</v>
      </c>
      <c r="AC37" s="102" t="s">
        <v>80</v>
      </c>
      <c r="AD37" s="102" t="s">
        <v>81</v>
      </c>
      <c r="AE37" s="102" t="s">
        <v>82</v>
      </c>
      <c r="AF37" s="102" t="s">
        <v>83</v>
      </c>
      <c r="AG37" s="102" t="s">
        <v>84</v>
      </c>
      <c r="AH37" s="101" t="s">
        <v>85</v>
      </c>
      <c r="AI37" s="101" t="s">
        <v>153</v>
      </c>
      <c r="AJ37" s="101" t="s">
        <v>154</v>
      </c>
      <c r="AK37" s="101" t="s">
        <v>18</v>
      </c>
    </row>
    <row r="38" spans="1:37" s="101" customFormat="1" hidden="1" outlineLevel="2" x14ac:dyDescent="0.55000000000000004">
      <c r="A38" s="100"/>
      <c r="B38" s="101" t="s">
        <v>86</v>
      </c>
      <c r="C38" s="101" t="s">
        <v>155</v>
      </c>
      <c r="E38" s="101">
        <v>2025</v>
      </c>
      <c r="F38" s="101" t="s">
        <v>156</v>
      </c>
      <c r="G38" s="101" t="s">
        <v>157</v>
      </c>
      <c r="H38" s="101" t="s">
        <v>158</v>
      </c>
      <c r="I38" s="101" t="s">
        <v>159</v>
      </c>
      <c r="J38" s="104">
        <v>22500000</v>
      </c>
      <c r="K38" s="101">
        <v>199.3</v>
      </c>
      <c r="L38" s="101" t="s">
        <v>22</v>
      </c>
      <c r="M38" s="104">
        <v>22500000</v>
      </c>
      <c r="N38" s="105">
        <v>45743</v>
      </c>
      <c r="O38" s="106">
        <v>4484250000</v>
      </c>
      <c r="P38" s="107">
        <v>4845938360</v>
      </c>
      <c r="Q38" s="103">
        <v>2025</v>
      </c>
      <c r="R38" s="107">
        <v>7960000</v>
      </c>
      <c r="S38" s="103" t="s">
        <v>22</v>
      </c>
      <c r="T38" s="101" t="s">
        <v>160</v>
      </c>
      <c r="U38" s="101" t="s">
        <v>27</v>
      </c>
      <c r="V38" s="101" t="s">
        <v>161</v>
      </c>
      <c r="W38" s="101" t="s">
        <v>25</v>
      </c>
      <c r="X38" s="101" t="s">
        <v>24</v>
      </c>
      <c r="AA38" s="101" t="s">
        <v>96</v>
      </c>
      <c r="AB38" s="101" t="s">
        <v>95</v>
      </c>
      <c r="AC38" s="101" t="s">
        <v>95</v>
      </c>
      <c r="AD38" s="101" t="s">
        <v>96</v>
      </c>
      <c r="AE38" s="101" t="s">
        <v>95</v>
      </c>
      <c r="AF38" s="101" t="s">
        <v>96</v>
      </c>
      <c r="AG38" s="101" t="s">
        <v>96</v>
      </c>
      <c r="AH38" s="101" t="s">
        <v>96</v>
      </c>
      <c r="AI38" s="101">
        <v>316301</v>
      </c>
      <c r="AJ38" s="101" t="s">
        <v>162</v>
      </c>
    </row>
    <row r="39" spans="1:37" s="101" customFormat="1" hidden="1" outlineLevel="2" x14ac:dyDescent="0.55000000000000004">
      <c r="A39" s="100"/>
      <c r="J39" s="104"/>
      <c r="M39" s="104">
        <v>22300000</v>
      </c>
      <c r="P39" s="103"/>
      <c r="Q39" s="103"/>
      <c r="R39" s="103"/>
      <c r="S39" s="103"/>
    </row>
    <row r="40" spans="1:37" s="101" customFormat="1" hidden="1" outlineLevel="2" x14ac:dyDescent="0.55000000000000004">
      <c r="A40" s="100"/>
      <c r="J40" s="104"/>
      <c r="L40" s="101" t="s">
        <v>163</v>
      </c>
      <c r="M40" s="108">
        <f>+AVERAGE(M38:M39)</f>
        <v>22400000</v>
      </c>
      <c r="P40" s="103"/>
      <c r="Q40" s="103"/>
      <c r="R40" s="103"/>
      <c r="S40" s="103"/>
    </row>
    <row r="41" spans="1:37" ht="30" hidden="1" outlineLevel="2" x14ac:dyDescent="0.55000000000000004">
      <c r="B41" s="4" t="s">
        <v>130</v>
      </c>
      <c r="C41" s="4" t="s">
        <v>131</v>
      </c>
      <c r="D41" s="4" t="s">
        <v>132</v>
      </c>
      <c r="E41" s="4" t="s">
        <v>133</v>
      </c>
      <c r="F41" s="4" t="s">
        <v>134</v>
      </c>
      <c r="G41" s="4" t="s">
        <v>1</v>
      </c>
      <c r="H41" s="4" t="s">
        <v>2</v>
      </c>
      <c r="I41" s="4" t="s">
        <v>2</v>
      </c>
      <c r="J41" s="85" t="s">
        <v>135</v>
      </c>
      <c r="K41" s="4" t="s">
        <v>4</v>
      </c>
      <c r="L41" s="109" t="s">
        <v>136</v>
      </c>
      <c r="M41" s="85" t="s">
        <v>137</v>
      </c>
      <c r="N41" s="4" t="s">
        <v>138</v>
      </c>
      <c r="O41" s="109" t="s">
        <v>139</v>
      </c>
      <c r="P41" s="37" t="s">
        <v>140</v>
      </c>
      <c r="Q41" s="37" t="s">
        <v>141</v>
      </c>
      <c r="R41" s="37" t="s">
        <v>142</v>
      </c>
      <c r="S41" s="37" t="s">
        <v>143</v>
      </c>
      <c r="T41" s="4" t="s">
        <v>144</v>
      </c>
      <c r="U41" s="4" t="s">
        <v>145</v>
      </c>
      <c r="V41" s="4" t="s">
        <v>146</v>
      </c>
      <c r="W41" s="109" t="s">
        <v>147</v>
      </c>
      <c r="X41" s="109" t="s">
        <v>148</v>
      </c>
      <c r="Y41" s="4" t="s">
        <v>149</v>
      </c>
      <c r="Z41" s="4" t="s">
        <v>150</v>
      </c>
      <c r="AA41" s="4" t="s">
        <v>151</v>
      </c>
      <c r="AB41" s="109" t="s">
        <v>152</v>
      </c>
      <c r="AC41" s="109" t="s">
        <v>80</v>
      </c>
      <c r="AD41" s="109" t="s">
        <v>81</v>
      </c>
      <c r="AE41" s="109" t="s">
        <v>82</v>
      </c>
      <c r="AF41" s="109" t="s">
        <v>83</v>
      </c>
      <c r="AG41" s="109" t="s">
        <v>84</v>
      </c>
      <c r="AH41" s="4" t="s">
        <v>85</v>
      </c>
      <c r="AI41" s="4" t="s">
        <v>153</v>
      </c>
      <c r="AJ41" s="4" t="s">
        <v>154</v>
      </c>
      <c r="AK41" s="4" t="s">
        <v>18</v>
      </c>
    </row>
    <row r="42" spans="1:37" hidden="1" outlineLevel="2" x14ac:dyDescent="0.55000000000000004">
      <c r="B42" s="4" t="s">
        <v>86</v>
      </c>
      <c r="C42" s="4" t="s">
        <v>164</v>
      </c>
      <c r="E42" s="4">
        <v>2025</v>
      </c>
      <c r="F42" s="4" t="s">
        <v>156</v>
      </c>
      <c r="G42" s="4" t="s">
        <v>157</v>
      </c>
      <c r="H42" s="4" t="s">
        <v>165</v>
      </c>
      <c r="I42" s="4" t="s">
        <v>166</v>
      </c>
      <c r="J42" s="85">
        <v>17500000</v>
      </c>
      <c r="K42" s="4">
        <v>117</v>
      </c>
      <c r="L42" s="4" t="s">
        <v>22</v>
      </c>
      <c r="M42" s="85">
        <v>17500000</v>
      </c>
      <c r="N42" s="3">
        <v>45923</v>
      </c>
      <c r="O42" s="8">
        <v>2047500000</v>
      </c>
      <c r="P42" s="88">
        <v>2047500000</v>
      </c>
      <c r="Q42" s="37">
        <v>2025</v>
      </c>
      <c r="R42" s="88">
        <v>4382000</v>
      </c>
      <c r="S42" s="37" t="s">
        <v>22</v>
      </c>
      <c r="T42" s="4" t="s">
        <v>167</v>
      </c>
      <c r="U42" s="4" t="s">
        <v>27</v>
      </c>
      <c r="V42" s="4" t="s">
        <v>168</v>
      </c>
      <c r="W42" s="4" t="s">
        <v>25</v>
      </c>
      <c r="X42" s="4" t="s">
        <v>24</v>
      </c>
      <c r="AA42" s="4" t="s">
        <v>95</v>
      </c>
      <c r="AB42" s="4" t="s">
        <v>95</v>
      </c>
      <c r="AC42" s="4" t="s">
        <v>96</v>
      </c>
      <c r="AD42" s="4" t="s">
        <v>96</v>
      </c>
      <c r="AE42" s="4" t="s">
        <v>96</v>
      </c>
      <c r="AF42" s="4" t="s">
        <v>96</v>
      </c>
      <c r="AG42" s="4" t="s">
        <v>96</v>
      </c>
      <c r="AH42" s="4" t="s">
        <v>96</v>
      </c>
      <c r="AI42" s="4">
        <v>312101</v>
      </c>
      <c r="AJ42" s="4" t="s">
        <v>169</v>
      </c>
      <c r="AK42" s="4" t="s">
        <v>170</v>
      </c>
    </row>
    <row r="43" spans="1:37" ht="30" hidden="1" outlineLevel="2" x14ac:dyDescent="0.55000000000000004">
      <c r="B43" s="4" t="s">
        <v>130</v>
      </c>
      <c r="C43" s="4" t="s">
        <v>131</v>
      </c>
      <c r="D43" s="4" t="s">
        <v>132</v>
      </c>
      <c r="E43" s="4" t="s">
        <v>133</v>
      </c>
      <c r="F43" s="4" t="s">
        <v>134</v>
      </c>
      <c r="G43" s="4" t="s">
        <v>1</v>
      </c>
      <c r="H43" s="4" t="s">
        <v>2</v>
      </c>
      <c r="I43" s="4" t="s">
        <v>2</v>
      </c>
      <c r="J43" s="85" t="s">
        <v>135</v>
      </c>
      <c r="K43" s="4" t="s">
        <v>4</v>
      </c>
      <c r="L43" s="109" t="s">
        <v>136</v>
      </c>
      <c r="M43" s="85" t="s">
        <v>137</v>
      </c>
      <c r="N43" s="4" t="s">
        <v>138</v>
      </c>
      <c r="O43" s="109" t="s">
        <v>139</v>
      </c>
      <c r="P43" s="37" t="s">
        <v>140</v>
      </c>
      <c r="Q43" s="37" t="s">
        <v>141</v>
      </c>
      <c r="R43" s="37" t="s">
        <v>142</v>
      </c>
      <c r="S43" s="37" t="s">
        <v>143</v>
      </c>
      <c r="T43" s="4" t="s">
        <v>144</v>
      </c>
      <c r="U43" s="4" t="s">
        <v>145</v>
      </c>
      <c r="V43" s="4" t="s">
        <v>146</v>
      </c>
      <c r="W43" s="109" t="s">
        <v>147</v>
      </c>
      <c r="X43" s="109" t="s">
        <v>148</v>
      </c>
      <c r="Y43" s="4" t="s">
        <v>149</v>
      </c>
      <c r="Z43" s="4" t="s">
        <v>150</v>
      </c>
      <c r="AA43" s="4" t="s">
        <v>151</v>
      </c>
      <c r="AB43" s="109" t="s">
        <v>152</v>
      </c>
      <c r="AC43" s="109" t="s">
        <v>80</v>
      </c>
      <c r="AD43" s="109" t="s">
        <v>81</v>
      </c>
      <c r="AE43" s="109" t="s">
        <v>82</v>
      </c>
      <c r="AF43" s="109" t="s">
        <v>83</v>
      </c>
      <c r="AG43" s="109" t="s">
        <v>84</v>
      </c>
      <c r="AH43" s="4" t="s">
        <v>85</v>
      </c>
      <c r="AI43" s="4" t="s">
        <v>153</v>
      </c>
      <c r="AJ43" s="4" t="s">
        <v>154</v>
      </c>
      <c r="AK43" s="4" t="s">
        <v>18</v>
      </c>
    </row>
    <row r="44" spans="1:37" hidden="1" outlineLevel="2" x14ac:dyDescent="0.55000000000000004">
      <c r="B44" s="4" t="s">
        <v>86</v>
      </c>
      <c r="C44" s="4" t="s">
        <v>171</v>
      </c>
      <c r="E44" s="4">
        <v>2024</v>
      </c>
      <c r="F44" s="4" t="s">
        <v>156</v>
      </c>
      <c r="G44" s="4" t="s">
        <v>157</v>
      </c>
      <c r="H44" s="4" t="s">
        <v>172</v>
      </c>
      <c r="I44" s="4" t="s">
        <v>173</v>
      </c>
      <c r="J44" s="85">
        <v>17200000</v>
      </c>
      <c r="K44" s="4">
        <v>177.9</v>
      </c>
      <c r="L44" s="4" t="s">
        <v>22</v>
      </c>
      <c r="M44" s="85">
        <v>17200000</v>
      </c>
      <c r="N44" s="3">
        <v>45656</v>
      </c>
      <c r="O44" s="8">
        <v>3059880000</v>
      </c>
      <c r="P44" s="88">
        <v>3349731870</v>
      </c>
      <c r="Q44" s="37">
        <v>2024</v>
      </c>
      <c r="R44" s="88">
        <v>7206000</v>
      </c>
      <c r="S44" s="37" t="s">
        <v>22</v>
      </c>
      <c r="T44" s="4" t="s">
        <v>174</v>
      </c>
      <c r="U44" s="4" t="s">
        <v>27</v>
      </c>
      <c r="V44" s="4" t="s">
        <v>161</v>
      </c>
      <c r="W44" s="4" t="s">
        <v>25</v>
      </c>
      <c r="X44" s="4" t="s">
        <v>24</v>
      </c>
      <c r="AA44" s="4" t="s">
        <v>96</v>
      </c>
      <c r="AB44" s="4" t="s">
        <v>95</v>
      </c>
      <c r="AC44" s="4" t="s">
        <v>96</v>
      </c>
      <c r="AD44" s="4" t="s">
        <v>96</v>
      </c>
      <c r="AE44" s="4" t="s">
        <v>96</v>
      </c>
      <c r="AF44" s="4" t="s">
        <v>96</v>
      </c>
      <c r="AG44" s="4" t="s">
        <v>96</v>
      </c>
      <c r="AH44" s="4" t="s">
        <v>96</v>
      </c>
      <c r="AI44" s="4">
        <v>312101</v>
      </c>
      <c r="AJ44" s="4" t="s">
        <v>169</v>
      </c>
    </row>
    <row r="45" spans="1:37" ht="30" hidden="1" outlineLevel="2" x14ac:dyDescent="0.55000000000000004">
      <c r="B45" s="4" t="s">
        <v>130</v>
      </c>
      <c r="C45" s="4" t="s">
        <v>131</v>
      </c>
      <c r="D45" s="4" t="s">
        <v>132</v>
      </c>
      <c r="E45" s="4" t="s">
        <v>133</v>
      </c>
      <c r="F45" s="4" t="s">
        <v>134</v>
      </c>
      <c r="G45" s="4" t="s">
        <v>1</v>
      </c>
      <c r="H45" s="4" t="s">
        <v>2</v>
      </c>
      <c r="I45" s="4" t="s">
        <v>2</v>
      </c>
      <c r="J45" s="85" t="s">
        <v>135</v>
      </c>
      <c r="K45" s="4" t="s">
        <v>4</v>
      </c>
      <c r="L45" s="109" t="s">
        <v>136</v>
      </c>
      <c r="M45" s="85" t="s">
        <v>137</v>
      </c>
      <c r="N45" s="4" t="s">
        <v>138</v>
      </c>
      <c r="O45" s="109" t="s">
        <v>139</v>
      </c>
      <c r="P45" s="37" t="s">
        <v>140</v>
      </c>
      <c r="Q45" s="37" t="s">
        <v>141</v>
      </c>
      <c r="R45" s="37" t="s">
        <v>142</v>
      </c>
      <c r="S45" s="37" t="s">
        <v>143</v>
      </c>
      <c r="T45" s="4" t="s">
        <v>144</v>
      </c>
      <c r="U45" s="4" t="s">
        <v>145</v>
      </c>
      <c r="V45" s="4" t="s">
        <v>146</v>
      </c>
      <c r="W45" s="109" t="s">
        <v>147</v>
      </c>
      <c r="X45" s="109" t="s">
        <v>148</v>
      </c>
      <c r="Y45" s="4" t="s">
        <v>149</v>
      </c>
      <c r="Z45" s="4" t="s">
        <v>150</v>
      </c>
      <c r="AA45" s="4" t="s">
        <v>151</v>
      </c>
      <c r="AB45" s="109" t="s">
        <v>152</v>
      </c>
      <c r="AC45" s="109" t="s">
        <v>80</v>
      </c>
      <c r="AD45" s="109" t="s">
        <v>81</v>
      </c>
      <c r="AE45" s="109" t="s">
        <v>82</v>
      </c>
      <c r="AF45" s="109" t="s">
        <v>83</v>
      </c>
      <c r="AG45" s="109" t="s">
        <v>84</v>
      </c>
      <c r="AH45" s="4" t="s">
        <v>85</v>
      </c>
      <c r="AI45" s="4" t="s">
        <v>153</v>
      </c>
      <c r="AJ45" s="4" t="s">
        <v>154</v>
      </c>
      <c r="AK45" s="4" t="s">
        <v>18</v>
      </c>
    </row>
    <row r="46" spans="1:37" hidden="1" outlineLevel="2" x14ac:dyDescent="0.55000000000000004">
      <c r="B46" s="4" t="s">
        <v>86</v>
      </c>
      <c r="C46" s="4" t="s">
        <v>175</v>
      </c>
      <c r="E46" s="4">
        <v>2025</v>
      </c>
      <c r="F46" s="4" t="s">
        <v>156</v>
      </c>
      <c r="G46" s="4" t="s">
        <v>157</v>
      </c>
      <c r="H46" s="4" t="s">
        <v>176</v>
      </c>
      <c r="I46" s="4" t="s">
        <v>177</v>
      </c>
      <c r="J46" s="85">
        <v>15500000</v>
      </c>
      <c r="K46" s="4">
        <v>116.7</v>
      </c>
      <c r="L46" s="4" t="s">
        <v>22</v>
      </c>
      <c r="M46" s="85">
        <v>15500000</v>
      </c>
      <c r="N46" s="3">
        <v>45866</v>
      </c>
      <c r="O46" s="8">
        <v>1808850000</v>
      </c>
      <c r="P46" s="88">
        <v>3539010000</v>
      </c>
      <c r="Q46" s="37">
        <v>2025</v>
      </c>
      <c r="R46" s="88">
        <v>4431000</v>
      </c>
      <c r="S46" s="37" t="s">
        <v>22</v>
      </c>
      <c r="T46" s="4" t="s">
        <v>23</v>
      </c>
      <c r="U46" s="4" t="s">
        <v>27</v>
      </c>
      <c r="V46" s="4" t="s">
        <v>28</v>
      </c>
      <c r="W46" s="4" t="s">
        <v>178</v>
      </c>
      <c r="X46" s="4" t="s">
        <v>24</v>
      </c>
      <c r="AA46" s="4" t="s">
        <v>96</v>
      </c>
      <c r="AB46" s="4" t="s">
        <v>95</v>
      </c>
      <c r="AC46" s="4" t="s">
        <v>95</v>
      </c>
      <c r="AD46" s="4" t="s">
        <v>96</v>
      </c>
      <c r="AE46" s="4" t="s">
        <v>95</v>
      </c>
      <c r="AF46" s="4" t="s">
        <v>96</v>
      </c>
      <c r="AG46" s="4" t="s">
        <v>95</v>
      </c>
      <c r="AH46" s="4" t="s">
        <v>95</v>
      </c>
      <c r="AI46" s="4">
        <v>302701</v>
      </c>
      <c r="AJ46" s="4" t="s">
        <v>179</v>
      </c>
    </row>
    <row r="47" spans="1:37" s="111" customFormat="1" ht="30" outlineLevel="1" collapsed="1" x14ac:dyDescent="0.55000000000000004">
      <c r="A47" s="110"/>
      <c r="B47" s="2" t="s">
        <v>130</v>
      </c>
      <c r="C47" s="111" t="s">
        <v>131</v>
      </c>
      <c r="D47" s="111" t="s">
        <v>132</v>
      </c>
      <c r="E47" s="111" t="s">
        <v>133</v>
      </c>
      <c r="F47" s="111" t="s">
        <v>134</v>
      </c>
      <c r="G47" s="111" t="s">
        <v>1</v>
      </c>
      <c r="H47" s="111" t="s">
        <v>2</v>
      </c>
      <c r="I47" s="111" t="s">
        <v>2</v>
      </c>
      <c r="J47" s="112" t="s">
        <v>135</v>
      </c>
      <c r="K47" s="111" t="s">
        <v>4</v>
      </c>
      <c r="L47" s="113" t="s">
        <v>136</v>
      </c>
      <c r="M47" s="112" t="s">
        <v>137</v>
      </c>
      <c r="N47" s="111" t="s">
        <v>138</v>
      </c>
      <c r="O47" s="113" t="s">
        <v>139</v>
      </c>
      <c r="P47" s="114" t="s">
        <v>140</v>
      </c>
      <c r="Q47" s="115" t="s">
        <v>141</v>
      </c>
      <c r="R47" s="116" t="s">
        <v>180</v>
      </c>
      <c r="S47" s="113" t="s">
        <v>143</v>
      </c>
      <c r="T47" s="113" t="s">
        <v>144</v>
      </c>
      <c r="U47" s="113" t="s">
        <v>145</v>
      </c>
      <c r="V47" s="113" t="s">
        <v>146</v>
      </c>
      <c r="W47" s="113" t="s">
        <v>147</v>
      </c>
      <c r="X47" s="113" t="s">
        <v>148</v>
      </c>
      <c r="Y47" s="111" t="s">
        <v>149</v>
      </c>
      <c r="Z47" s="111" t="s">
        <v>150</v>
      </c>
      <c r="AA47" s="111" t="s">
        <v>151</v>
      </c>
      <c r="AB47" s="113" t="s">
        <v>152</v>
      </c>
      <c r="AC47" s="113" t="s">
        <v>80</v>
      </c>
      <c r="AD47" s="113" t="s">
        <v>81</v>
      </c>
      <c r="AE47" s="113" t="s">
        <v>82</v>
      </c>
      <c r="AF47" s="113" t="s">
        <v>83</v>
      </c>
      <c r="AG47" s="113" t="s">
        <v>84</v>
      </c>
      <c r="AH47" s="111" t="s">
        <v>85</v>
      </c>
      <c r="AI47" s="111" t="s">
        <v>153</v>
      </c>
      <c r="AJ47" s="111" t="s">
        <v>154</v>
      </c>
      <c r="AK47" s="111" t="s">
        <v>18</v>
      </c>
    </row>
    <row r="48" spans="1:37" s="111" customFormat="1" outlineLevel="1" x14ac:dyDescent="0.55000000000000004">
      <c r="A48" s="110"/>
      <c r="B48" s="111">
        <v>1</v>
      </c>
      <c r="C48" s="111" t="s">
        <v>181</v>
      </c>
      <c r="E48" s="111">
        <v>2025</v>
      </c>
      <c r="F48" s="111" t="s">
        <v>156</v>
      </c>
      <c r="G48" s="111" t="s">
        <v>182</v>
      </c>
      <c r="H48" s="111" t="s">
        <v>183</v>
      </c>
      <c r="I48" s="111" t="s">
        <v>184</v>
      </c>
      <c r="J48" s="117">
        <v>7480000</v>
      </c>
      <c r="K48" s="111">
        <v>102</v>
      </c>
      <c r="L48" s="111" t="s">
        <v>185</v>
      </c>
      <c r="M48" s="112">
        <v>7480000</v>
      </c>
      <c r="N48" s="118">
        <v>45973</v>
      </c>
      <c r="O48" s="119">
        <v>762960000</v>
      </c>
      <c r="P48" s="120">
        <v>770755480</v>
      </c>
      <c r="Q48" s="114">
        <v>2025</v>
      </c>
      <c r="R48" s="113">
        <f>+VALUE(RIGHT(R47,7))</f>
        <v>1.0406500000000001</v>
      </c>
      <c r="S48" s="113" t="s">
        <v>22</v>
      </c>
      <c r="T48" s="111" t="s">
        <v>23</v>
      </c>
      <c r="U48" s="111" t="s">
        <v>27</v>
      </c>
      <c r="V48" s="111" t="s">
        <v>28</v>
      </c>
      <c r="W48" s="111" t="s">
        <v>25</v>
      </c>
      <c r="X48" s="111" t="s">
        <v>24</v>
      </c>
      <c r="AA48" s="111" t="s">
        <v>95</v>
      </c>
      <c r="AB48" s="111" t="s">
        <v>95</v>
      </c>
      <c r="AC48" s="111" t="s">
        <v>95</v>
      </c>
      <c r="AD48" s="111" t="s">
        <v>96</v>
      </c>
      <c r="AE48" s="111" t="s">
        <v>95</v>
      </c>
      <c r="AF48" s="111" t="s">
        <v>96</v>
      </c>
      <c r="AG48" s="111" t="s">
        <v>95</v>
      </c>
      <c r="AH48" s="111" t="s">
        <v>95</v>
      </c>
      <c r="AI48" s="111" t="s">
        <v>186</v>
      </c>
      <c r="AJ48" s="111" t="s">
        <v>187</v>
      </c>
    </row>
    <row r="49" spans="1:56" s="111" customFormat="1" ht="30" outlineLevel="1" x14ac:dyDescent="0.55000000000000004">
      <c r="A49" s="110"/>
      <c r="B49" s="111" t="s">
        <v>130</v>
      </c>
      <c r="C49" s="111" t="s">
        <v>131</v>
      </c>
      <c r="D49" s="111" t="s">
        <v>132</v>
      </c>
      <c r="E49" s="111" t="s">
        <v>133</v>
      </c>
      <c r="F49" s="111" t="s">
        <v>134</v>
      </c>
      <c r="G49" s="111" t="s">
        <v>1</v>
      </c>
      <c r="H49" s="111" t="s">
        <v>2</v>
      </c>
      <c r="I49" s="111" t="s">
        <v>2</v>
      </c>
      <c r="J49" s="117" t="s">
        <v>135</v>
      </c>
      <c r="K49" s="111" t="s">
        <v>4</v>
      </c>
      <c r="L49" s="113" t="s">
        <v>136</v>
      </c>
      <c r="M49" s="112" t="s">
        <v>137</v>
      </c>
      <c r="N49" s="118" t="s">
        <v>138</v>
      </c>
      <c r="O49" s="121" t="s">
        <v>139</v>
      </c>
      <c r="P49" s="120" t="s">
        <v>140</v>
      </c>
      <c r="Q49" s="115" t="s">
        <v>141</v>
      </c>
      <c r="R49" s="116" t="s">
        <v>188</v>
      </c>
      <c r="S49" s="113" t="s">
        <v>143</v>
      </c>
      <c r="T49" s="113" t="s">
        <v>144</v>
      </c>
      <c r="U49" s="113" t="s">
        <v>145</v>
      </c>
      <c r="V49" s="113" t="s">
        <v>146</v>
      </c>
      <c r="W49" s="113" t="s">
        <v>147</v>
      </c>
      <c r="X49" s="113" t="s">
        <v>148</v>
      </c>
      <c r="Y49" s="111" t="s">
        <v>149</v>
      </c>
      <c r="Z49" s="111" t="s">
        <v>150</v>
      </c>
      <c r="AA49" s="111" t="s">
        <v>151</v>
      </c>
      <c r="AB49" s="113" t="s">
        <v>152</v>
      </c>
      <c r="AC49" s="113" t="s">
        <v>80</v>
      </c>
      <c r="AD49" s="113" t="s">
        <v>81</v>
      </c>
      <c r="AE49" s="113" t="s">
        <v>82</v>
      </c>
      <c r="AF49" s="113" t="s">
        <v>83</v>
      </c>
      <c r="AG49" s="113" t="s">
        <v>84</v>
      </c>
      <c r="AH49" s="111" t="s">
        <v>85</v>
      </c>
      <c r="AI49" s="111" t="s">
        <v>153</v>
      </c>
      <c r="AJ49" s="111" t="s">
        <v>154</v>
      </c>
      <c r="AK49" s="111" t="s">
        <v>18</v>
      </c>
    </row>
    <row r="50" spans="1:56" s="111" customFormat="1" outlineLevel="1" x14ac:dyDescent="0.55000000000000004">
      <c r="A50" s="110"/>
      <c r="B50" s="111">
        <v>2</v>
      </c>
      <c r="C50" s="111" t="s">
        <v>155</v>
      </c>
      <c r="E50" s="111">
        <v>2025</v>
      </c>
      <c r="F50" s="111" t="s">
        <v>156</v>
      </c>
      <c r="G50" s="111" t="s">
        <v>182</v>
      </c>
      <c r="H50" s="111" t="s">
        <v>189</v>
      </c>
      <c r="I50" s="111" t="s">
        <v>190</v>
      </c>
      <c r="J50" s="117">
        <v>6730000</v>
      </c>
      <c r="K50" s="111">
        <v>79</v>
      </c>
      <c r="L50" s="111" t="s">
        <v>22</v>
      </c>
      <c r="M50" s="112">
        <v>6730000</v>
      </c>
      <c r="N50" s="118">
        <v>45856</v>
      </c>
      <c r="O50" s="119">
        <v>531670000</v>
      </c>
      <c r="P50" s="120">
        <v>564515560</v>
      </c>
      <c r="Q50" s="114">
        <v>2025</v>
      </c>
      <c r="R50" s="113">
        <f>+VALUE(RIGHT(R49,7))</f>
        <v>1.02952</v>
      </c>
      <c r="S50" s="113" t="s">
        <v>22</v>
      </c>
      <c r="T50" s="111" t="s">
        <v>23</v>
      </c>
      <c r="U50" s="111" t="s">
        <v>27</v>
      </c>
      <c r="V50" s="111" t="s">
        <v>28</v>
      </c>
      <c r="W50" s="111" t="s">
        <v>25</v>
      </c>
      <c r="X50" s="111" t="s">
        <v>24</v>
      </c>
      <c r="AA50" s="111" t="s">
        <v>95</v>
      </c>
      <c r="AB50" s="111" t="s">
        <v>95</v>
      </c>
      <c r="AC50" s="111" t="s">
        <v>96</v>
      </c>
      <c r="AD50" s="111" t="s">
        <v>96</v>
      </c>
      <c r="AE50" s="111" t="s">
        <v>96</v>
      </c>
      <c r="AF50" s="111" t="s">
        <v>96</v>
      </c>
      <c r="AG50" s="111" t="s">
        <v>96</v>
      </c>
      <c r="AH50" s="111" t="s">
        <v>96</v>
      </c>
      <c r="AI50" s="111">
        <v>300116</v>
      </c>
      <c r="AJ50" s="111" t="s">
        <v>191</v>
      </c>
    </row>
    <row r="51" spans="1:56" s="111" customFormat="1" ht="30" outlineLevel="1" x14ac:dyDescent="0.55000000000000004">
      <c r="A51" s="110"/>
      <c r="B51" s="111" t="s">
        <v>130</v>
      </c>
      <c r="C51" s="111" t="s">
        <v>131</v>
      </c>
      <c r="D51" s="111" t="s">
        <v>132</v>
      </c>
      <c r="E51" s="111" t="s">
        <v>133</v>
      </c>
      <c r="F51" s="111" t="s">
        <v>134</v>
      </c>
      <c r="G51" s="111" t="s">
        <v>1</v>
      </c>
      <c r="H51" s="111" t="s">
        <v>2</v>
      </c>
      <c r="I51" s="111" t="s">
        <v>2</v>
      </c>
      <c r="J51" s="117" t="s">
        <v>135</v>
      </c>
      <c r="K51" s="111" t="s">
        <v>4</v>
      </c>
      <c r="L51" s="113" t="s">
        <v>136</v>
      </c>
      <c r="M51" s="112" t="s">
        <v>137</v>
      </c>
      <c r="N51" s="118" t="s">
        <v>138</v>
      </c>
      <c r="O51" s="121" t="s">
        <v>139</v>
      </c>
      <c r="P51" s="120" t="s">
        <v>140</v>
      </c>
      <c r="Q51" s="115" t="s">
        <v>141</v>
      </c>
      <c r="R51" s="116" t="s">
        <v>192</v>
      </c>
      <c r="T51" s="113"/>
      <c r="U51" s="113"/>
      <c r="V51" s="113"/>
      <c r="W51" s="113"/>
      <c r="X51" s="113"/>
      <c r="AB51" s="113"/>
      <c r="AC51" s="113"/>
      <c r="AD51" s="113"/>
      <c r="AE51" s="113"/>
      <c r="AF51" s="113"/>
      <c r="AG51" s="113"/>
    </row>
    <row r="52" spans="1:56" s="111" customFormat="1" outlineLevel="1" x14ac:dyDescent="0.55000000000000004">
      <c r="A52" s="110"/>
      <c r="B52" s="111">
        <v>3</v>
      </c>
      <c r="C52" s="111" t="s">
        <v>181</v>
      </c>
      <c r="E52" s="111">
        <v>2025</v>
      </c>
      <c r="F52" s="111" t="s">
        <v>156</v>
      </c>
      <c r="G52" s="111" t="s">
        <v>182</v>
      </c>
      <c r="H52" s="111" t="s">
        <v>183</v>
      </c>
      <c r="I52" s="111" t="s">
        <v>184</v>
      </c>
      <c r="J52" s="117">
        <v>7480000</v>
      </c>
      <c r="K52" s="111">
        <v>102</v>
      </c>
      <c r="L52" s="111" t="s">
        <v>185</v>
      </c>
      <c r="M52" s="112">
        <v>7480000</v>
      </c>
      <c r="N52" s="118">
        <v>45973</v>
      </c>
      <c r="O52" s="119">
        <v>762960000</v>
      </c>
      <c r="P52" s="120">
        <v>770755480</v>
      </c>
      <c r="Q52" s="114">
        <v>2025</v>
      </c>
      <c r="R52" s="113">
        <f>+VALUE(RIGHT(R51,7))</f>
        <v>1.0166599999999999</v>
      </c>
      <c r="S52" s="113"/>
    </row>
    <row r="53" spans="1:56" s="111" customFormat="1" outlineLevel="1" x14ac:dyDescent="0.55000000000000004">
      <c r="A53" s="110"/>
      <c r="J53" s="117"/>
      <c r="M53" s="112"/>
      <c r="N53" s="118"/>
      <c r="O53" s="119"/>
      <c r="P53" s="120"/>
      <c r="Q53" s="114"/>
      <c r="R53" s="114"/>
      <c r="S53" s="113"/>
    </row>
    <row r="54" spans="1:56" s="111" customFormat="1" outlineLevel="1" x14ac:dyDescent="0.55000000000000004">
      <c r="A54" s="110"/>
      <c r="J54" s="117"/>
      <c r="M54" s="112"/>
      <c r="N54" s="118"/>
      <c r="O54" s="119"/>
      <c r="P54" s="120"/>
      <c r="Q54" s="114"/>
      <c r="R54" s="114"/>
      <c r="S54" s="113"/>
    </row>
    <row r="55" spans="1:56" outlineLevel="1" x14ac:dyDescent="0.55000000000000004">
      <c r="B55" s="122" t="s">
        <v>193</v>
      </c>
      <c r="C55" s="123"/>
      <c r="D55" s="123"/>
      <c r="E55" s="123"/>
      <c r="F55" s="123"/>
      <c r="G55" s="123"/>
      <c r="H55" s="123"/>
      <c r="J55" s="85"/>
      <c r="M55" s="85"/>
      <c r="P55" s="37"/>
      <c r="Q55" s="37"/>
      <c r="R55" s="37"/>
      <c r="S55" s="37"/>
      <c r="T55" s="37"/>
      <c r="U55" s="37"/>
      <c r="V55" s="37"/>
    </row>
    <row r="56" spans="1:56" ht="25" customHeight="1" outlineLevel="1" x14ac:dyDescent="0.55000000000000004">
      <c r="B56" s="124" t="s">
        <v>99</v>
      </c>
      <c r="C56" s="125"/>
      <c r="D56" s="125"/>
      <c r="E56" s="125"/>
      <c r="F56" s="125"/>
      <c r="G56" s="125"/>
      <c r="H56" s="125"/>
      <c r="I56" s="109" t="s">
        <v>180</v>
      </c>
      <c r="J56" s="85"/>
      <c r="M56" s="85"/>
      <c r="P56" s="37"/>
      <c r="Q56" s="37"/>
      <c r="R56" s="37"/>
      <c r="S56" s="37"/>
      <c r="T56" s="37"/>
      <c r="U56" s="37"/>
      <c r="V56" s="37"/>
    </row>
    <row r="57" spans="1:56" outlineLevel="1" x14ac:dyDescent="0.55000000000000004">
      <c r="B57" s="125"/>
      <c r="C57" s="125"/>
      <c r="D57" s="125"/>
      <c r="E57" s="125"/>
      <c r="F57" s="125"/>
      <c r="G57" s="125"/>
      <c r="H57" s="125"/>
      <c r="J57" s="85"/>
      <c r="M57" s="85"/>
      <c r="P57" s="37"/>
      <c r="Q57" s="37"/>
      <c r="R57" s="37"/>
      <c r="S57" s="37"/>
      <c r="T57" s="37"/>
      <c r="U57" s="37"/>
      <c r="V57" s="37"/>
    </row>
    <row r="58" spans="1:56" ht="17.600000000000001" outlineLevel="1" x14ac:dyDescent="0.55000000000000004">
      <c r="B58"/>
      <c r="J58" s="85"/>
      <c r="M58" s="85"/>
      <c r="P58" s="37"/>
      <c r="Q58" s="37"/>
      <c r="R58" s="37"/>
      <c r="S58" s="37"/>
      <c r="T58" s="37"/>
      <c r="U58" s="37"/>
      <c r="V58" s="37"/>
    </row>
    <row r="59" spans="1:56" ht="17.600000000000001" outlineLevel="1" x14ac:dyDescent="0.55000000000000004">
      <c r="B59"/>
      <c r="P59" s="37"/>
      <c r="Q59" s="37"/>
      <c r="R59" s="37"/>
      <c r="T59" s="37"/>
      <c r="U59" s="37"/>
      <c r="V59" s="37"/>
    </row>
    <row r="60" spans="1:56" ht="17.600000000000001" outlineLevel="1" x14ac:dyDescent="0.55000000000000004">
      <c r="B60"/>
      <c r="P60" s="37"/>
      <c r="Q60" s="37"/>
      <c r="R60" s="37"/>
      <c r="T60" s="37"/>
      <c r="U60" s="37"/>
      <c r="V60" s="37"/>
    </row>
    <row r="61" spans="1:56" ht="15.45" thickBot="1" x14ac:dyDescent="0.6">
      <c r="B61" s="126" t="s">
        <v>194</v>
      </c>
      <c r="C61" s="127"/>
      <c r="D61" s="127"/>
      <c r="E61" s="127"/>
      <c r="F61" s="127"/>
      <c r="G61" s="127"/>
      <c r="H61" s="127"/>
      <c r="S61" s="1">
        <v>17</v>
      </c>
      <c r="T61" s="1">
        <v>18</v>
      </c>
      <c r="U61" s="1">
        <v>19</v>
      </c>
      <c r="V61" s="1">
        <v>20</v>
      </c>
      <c r="W61" s="1">
        <v>21</v>
      </c>
      <c r="X61" s="1">
        <v>22</v>
      </c>
      <c r="Y61" s="1">
        <v>23</v>
      </c>
      <c r="Z61" s="1">
        <v>24</v>
      </c>
      <c r="AA61" s="1">
        <v>25</v>
      </c>
      <c r="AB61" s="1">
        <v>26</v>
      </c>
    </row>
    <row r="62" spans="1:56" ht="30" x14ac:dyDescent="0.55000000000000004">
      <c r="B62" s="2" t="s">
        <v>195</v>
      </c>
      <c r="C62" s="128" t="s">
        <v>196</v>
      </c>
      <c r="D62" s="128" t="s">
        <v>1</v>
      </c>
      <c r="E62" s="128" t="s">
        <v>2</v>
      </c>
      <c r="F62" s="128" t="s">
        <v>197</v>
      </c>
      <c r="G62" s="128" t="s">
        <v>3</v>
      </c>
      <c r="H62" s="128" t="s">
        <v>10</v>
      </c>
      <c r="I62" s="128" t="s">
        <v>198</v>
      </c>
      <c r="J62" s="129" t="s">
        <v>199</v>
      </c>
      <c r="K62" s="129" t="s">
        <v>200</v>
      </c>
      <c r="L62" s="128" t="s">
        <v>201</v>
      </c>
      <c r="M62" s="128" t="s">
        <v>135</v>
      </c>
      <c r="N62" s="128" t="s">
        <v>202</v>
      </c>
      <c r="O62" s="128" t="s">
        <v>202</v>
      </c>
      <c r="P62" s="130"/>
      <c r="Q62" s="131" t="s">
        <v>203</v>
      </c>
      <c r="R62" s="131" t="s">
        <v>204</v>
      </c>
      <c r="S62" s="131" t="s">
        <v>205</v>
      </c>
      <c r="T62" s="131" t="s">
        <v>206</v>
      </c>
      <c r="U62" s="132" t="s">
        <v>207</v>
      </c>
      <c r="V62" s="133" t="s">
        <v>208</v>
      </c>
      <c r="W62" s="4" t="s">
        <v>1</v>
      </c>
      <c r="X62" s="4" t="s">
        <v>2</v>
      </c>
      <c r="Y62" s="4" t="s">
        <v>3</v>
      </c>
      <c r="Z62" s="4" t="s">
        <v>4</v>
      </c>
      <c r="AA62" s="4" t="s">
        <v>5</v>
      </c>
      <c r="AB62" s="4" t="s">
        <v>6</v>
      </c>
      <c r="AC62" s="4" t="s">
        <v>7</v>
      </c>
      <c r="AD62" s="4" t="s">
        <v>8</v>
      </c>
      <c r="AE62" s="109" t="s">
        <v>9</v>
      </c>
      <c r="AF62" s="109" t="s">
        <v>10</v>
      </c>
      <c r="AG62" s="4" t="s">
        <v>11</v>
      </c>
      <c r="AH62" s="4" t="s">
        <v>12</v>
      </c>
      <c r="AI62" s="4" t="s">
        <v>13</v>
      </c>
      <c r="AJ62" s="109" t="s">
        <v>14</v>
      </c>
      <c r="AK62" s="4" t="s">
        <v>15</v>
      </c>
      <c r="AL62" s="4" t="s">
        <v>16</v>
      </c>
      <c r="AM62" s="4" t="s">
        <v>17</v>
      </c>
      <c r="AN62" s="4" t="s">
        <v>18</v>
      </c>
      <c r="AO62" s="4" t="s">
        <v>16</v>
      </c>
      <c r="AP62" s="4" t="s">
        <v>209</v>
      </c>
      <c r="AQ62" s="4" t="s">
        <v>210</v>
      </c>
      <c r="AR62" s="4" t="s">
        <v>211</v>
      </c>
      <c r="AS62" s="4" t="s">
        <v>18</v>
      </c>
      <c r="AT62" s="4" t="s">
        <v>79</v>
      </c>
      <c r="AU62" s="5" t="s">
        <v>210</v>
      </c>
      <c r="AV62" s="5" t="s">
        <v>211</v>
      </c>
      <c r="AW62" s="5" t="s">
        <v>18</v>
      </c>
      <c r="AX62" s="5" t="s">
        <v>79</v>
      </c>
      <c r="AY62" s="39" t="s">
        <v>80</v>
      </c>
      <c r="AZ62" s="39" t="s">
        <v>81</v>
      </c>
      <c r="BA62" s="39" t="s">
        <v>82</v>
      </c>
      <c r="BB62" s="39" t="s">
        <v>83</v>
      </c>
      <c r="BC62" s="39" t="s">
        <v>84</v>
      </c>
      <c r="BD62" s="5" t="s">
        <v>85</v>
      </c>
    </row>
    <row r="63" spans="1:56" x14ac:dyDescent="0.55000000000000004">
      <c r="B63" s="134"/>
      <c r="C63" s="5" t="s">
        <v>212</v>
      </c>
      <c r="D63" s="5" t="s">
        <v>87</v>
      </c>
      <c r="E63" s="135" t="s">
        <v>213</v>
      </c>
      <c r="F63" s="5" t="s">
        <v>214</v>
      </c>
      <c r="G63" s="5" t="s">
        <v>22</v>
      </c>
      <c r="H63" s="5" t="s">
        <v>215</v>
      </c>
      <c r="I63" s="136">
        <v>45815</v>
      </c>
      <c r="J63" s="137">
        <v>198.55</v>
      </c>
      <c r="K63" s="137">
        <v>198.55</v>
      </c>
      <c r="L63" s="7">
        <v>825000000</v>
      </c>
      <c r="M63" s="7"/>
      <c r="N63" s="136">
        <v>33189</v>
      </c>
      <c r="O63" s="136">
        <v>33189</v>
      </c>
      <c r="P63" s="138" t="s">
        <v>216</v>
      </c>
      <c r="Q63" s="54">
        <v>800000</v>
      </c>
      <c r="R63" s="54">
        <v>40</v>
      </c>
      <c r="S63" s="4">
        <f>+DATEDIF(O63,I63,"y")</f>
        <v>34</v>
      </c>
      <c r="T63" s="54">
        <f>+Q63*(R63-S63)/R63</f>
        <v>120000</v>
      </c>
      <c r="U63" s="132" t="s">
        <v>217</v>
      </c>
      <c r="V63" s="132">
        <v>2025</v>
      </c>
      <c r="W63" s="8" t="s">
        <v>218</v>
      </c>
      <c r="X63" s="8">
        <v>19238</v>
      </c>
      <c r="Y63" s="4" t="s">
        <v>22</v>
      </c>
      <c r="Z63" s="4">
        <v>170.2</v>
      </c>
      <c r="AA63" s="8">
        <v>8143000</v>
      </c>
      <c r="AB63" s="4" t="s">
        <v>167</v>
      </c>
      <c r="AC63" s="4" t="s">
        <v>24</v>
      </c>
      <c r="AD63" s="4" t="s">
        <v>219</v>
      </c>
      <c r="AE63" s="4" t="s">
        <v>220</v>
      </c>
      <c r="AF63" s="8" t="s">
        <v>27</v>
      </c>
      <c r="AG63" s="8" t="s">
        <v>28</v>
      </c>
      <c r="AI63" s="8" t="s">
        <v>29</v>
      </c>
      <c r="AJ63" s="8">
        <v>0</v>
      </c>
      <c r="AK63" s="4" t="s">
        <v>221</v>
      </c>
      <c r="AL63" s="8">
        <v>7815000</v>
      </c>
      <c r="AM63" s="8">
        <v>7684000</v>
      </c>
      <c r="AN63" s="4" t="s">
        <v>31</v>
      </c>
      <c r="AO63" s="8">
        <v>7978000</v>
      </c>
      <c r="AP63" s="4">
        <v>104.111306091752</v>
      </c>
      <c r="AQ63" s="8">
        <v>7847000</v>
      </c>
      <c r="AR63" s="4" t="s">
        <v>222</v>
      </c>
      <c r="AT63" s="4" t="s">
        <v>95</v>
      </c>
      <c r="AU63" s="7">
        <v>7882000</v>
      </c>
      <c r="AV63" s="5" t="s">
        <v>222</v>
      </c>
      <c r="AW63" s="5"/>
      <c r="AX63" s="5" t="s">
        <v>95</v>
      </c>
      <c r="AY63" s="5" t="s">
        <v>96</v>
      </c>
      <c r="AZ63" s="5" t="s">
        <v>96</v>
      </c>
      <c r="BA63" s="5" t="s">
        <v>95</v>
      </c>
      <c r="BB63" s="5" t="s">
        <v>96</v>
      </c>
      <c r="BC63" s="5" t="s">
        <v>95</v>
      </c>
      <c r="BD63" s="5" t="s">
        <v>96</v>
      </c>
    </row>
    <row r="64" spans="1:56" x14ac:dyDescent="0.55000000000000004">
      <c r="B64" s="134"/>
      <c r="C64" s="139" t="s">
        <v>196</v>
      </c>
      <c r="D64" s="139" t="s">
        <v>1</v>
      </c>
      <c r="E64" s="139" t="s">
        <v>2</v>
      </c>
      <c r="F64" s="139" t="s">
        <v>197</v>
      </c>
      <c r="G64" s="139" t="s">
        <v>3</v>
      </c>
      <c r="H64" s="139" t="s">
        <v>10</v>
      </c>
      <c r="I64" s="139" t="s">
        <v>198</v>
      </c>
      <c r="J64" s="140" t="s">
        <v>199</v>
      </c>
      <c r="K64" s="140" t="s">
        <v>200</v>
      </c>
      <c r="L64" s="139" t="s">
        <v>201</v>
      </c>
      <c r="M64" s="139" t="s">
        <v>135</v>
      </c>
      <c r="N64" s="141" t="s">
        <v>202</v>
      </c>
      <c r="O64" s="139" t="s">
        <v>202</v>
      </c>
      <c r="P64" s="142" t="s">
        <v>223</v>
      </c>
      <c r="Q64" s="143" t="s">
        <v>224</v>
      </c>
      <c r="R64" s="143" t="s">
        <v>225</v>
      </c>
      <c r="S64" s="131" t="s">
        <v>117</v>
      </c>
      <c r="T64" s="144" t="s">
        <v>226</v>
      </c>
      <c r="U64" s="145" t="s">
        <v>227</v>
      </c>
      <c r="V64" s="21" t="s">
        <v>104</v>
      </c>
      <c r="W64" s="21" t="s">
        <v>105</v>
      </c>
      <c r="X64" s="21" t="s">
        <v>106</v>
      </c>
      <c r="Y64" s="21" t="s">
        <v>107</v>
      </c>
      <c r="Z64" s="21" t="s">
        <v>108</v>
      </c>
      <c r="AA64" s="21" t="s">
        <v>109</v>
      </c>
      <c r="AB64" s="21" t="s">
        <v>110</v>
      </c>
    </row>
    <row r="65" spans="1:39" x14ac:dyDescent="0.55000000000000004">
      <c r="B65" s="134">
        <v>1</v>
      </c>
      <c r="C65" s="139" t="s">
        <v>212</v>
      </c>
      <c r="D65" s="139" t="s">
        <v>87</v>
      </c>
      <c r="E65" s="146" t="s">
        <v>213</v>
      </c>
      <c r="F65" s="139" t="s">
        <v>156</v>
      </c>
      <c r="G65" s="139" t="s">
        <v>22</v>
      </c>
      <c r="H65" s="139" t="s">
        <v>215</v>
      </c>
      <c r="I65" s="147">
        <v>45815</v>
      </c>
      <c r="J65" s="140">
        <v>109</v>
      </c>
      <c r="K65" s="140">
        <v>109</v>
      </c>
      <c r="L65" s="141">
        <v>825000000</v>
      </c>
      <c r="M65" s="141"/>
      <c r="N65" s="141">
        <v>33189</v>
      </c>
      <c r="O65" s="147">
        <v>33189</v>
      </c>
      <c r="P65" s="148">
        <f>+T63*K63</f>
        <v>23826000</v>
      </c>
      <c r="Q65" s="149">
        <f>+L65-P65</f>
        <v>801174000</v>
      </c>
      <c r="R65" s="150">
        <f>+Q65/K65</f>
        <v>7350220.1834862381</v>
      </c>
      <c r="S65" s="151">
        <f>+VALUE(RIGHT(T64,7))</f>
        <v>1.03338</v>
      </c>
      <c r="T65" s="152">
        <f>+S65*R65</f>
        <v>7595570.5332110086</v>
      </c>
      <c r="V65" s="5">
        <v>1.05</v>
      </c>
      <c r="W65" s="5">
        <v>1</v>
      </c>
      <c r="X65" s="5">
        <v>1</v>
      </c>
      <c r="Y65" s="5">
        <v>1.05</v>
      </c>
      <c r="Z65" s="5">
        <v>1</v>
      </c>
      <c r="AA65" s="5">
        <v>1</v>
      </c>
      <c r="AB65" s="61">
        <f>+ROUND(PRODUCT(V65:AA65),3)</f>
        <v>1.103</v>
      </c>
    </row>
    <row r="66" spans="1:39" ht="18" x14ac:dyDescent="0.55000000000000004">
      <c r="B66" s="153"/>
      <c r="J66" s="154"/>
      <c r="K66" s="154"/>
      <c r="M66" s="8"/>
      <c r="O66" s="155"/>
      <c r="P66" s="156"/>
      <c r="Q66" s="37"/>
      <c r="R66" s="37"/>
      <c r="T66" s="37"/>
      <c r="U66" s="37"/>
      <c r="V66" s="157" t="str">
        <f>+$C$22&amp;"/" &amp;AG63</f>
        <v>세로(가)/세로(가)</v>
      </c>
      <c r="W66" s="158" t="s">
        <v>228</v>
      </c>
      <c r="X66" s="158" t="s">
        <v>229</v>
      </c>
      <c r="Y66" s="157" t="str">
        <f>+$D$22&amp;"/" &amp;AD63</f>
        <v>세장형/정방형</v>
      </c>
    </row>
    <row r="67" spans="1:39" x14ac:dyDescent="0.55000000000000004">
      <c r="B67" s="153"/>
      <c r="J67" s="154"/>
      <c r="K67" s="154"/>
      <c r="M67" s="8"/>
      <c r="O67" s="155"/>
      <c r="P67" s="156"/>
      <c r="Q67" s="37"/>
      <c r="R67" s="37"/>
      <c r="T67" s="37"/>
      <c r="U67" s="37"/>
      <c r="V67" s="37"/>
      <c r="AA67" s="8"/>
      <c r="AL67" s="8"/>
      <c r="AM67" s="8"/>
    </row>
    <row r="68" spans="1:39" x14ac:dyDescent="0.55000000000000004">
      <c r="A68" s="159"/>
      <c r="B68" s="134"/>
      <c r="C68" s="5" t="s">
        <v>196</v>
      </c>
      <c r="D68" s="5" t="s">
        <v>1</v>
      </c>
      <c r="E68" s="5" t="s">
        <v>2</v>
      </c>
      <c r="F68" s="5" t="s">
        <v>197</v>
      </c>
      <c r="G68" s="5" t="s">
        <v>3</v>
      </c>
      <c r="H68" s="5" t="s">
        <v>10</v>
      </c>
      <c r="I68" s="5" t="s">
        <v>198</v>
      </c>
      <c r="J68" s="137" t="s">
        <v>199</v>
      </c>
      <c r="K68" s="137" t="s">
        <v>200</v>
      </c>
      <c r="L68" s="5" t="s">
        <v>201</v>
      </c>
      <c r="M68" s="5" t="s">
        <v>135</v>
      </c>
      <c r="N68" s="5" t="s">
        <v>202</v>
      </c>
      <c r="O68" s="160"/>
      <c r="P68" s="130"/>
      <c r="Q68" s="131" t="s">
        <v>203</v>
      </c>
      <c r="R68" s="131" t="s">
        <v>204</v>
      </c>
      <c r="S68" s="131" t="s">
        <v>205</v>
      </c>
      <c r="T68" s="131" t="s">
        <v>206</v>
      </c>
      <c r="U68" s="37"/>
      <c r="V68" s="37"/>
    </row>
    <row r="69" spans="1:39" x14ac:dyDescent="0.55000000000000004">
      <c r="A69" s="159"/>
      <c r="B69" s="134"/>
      <c r="C69" s="5" t="s">
        <v>212</v>
      </c>
      <c r="D69" s="5" t="s">
        <v>87</v>
      </c>
      <c r="E69" s="161" t="s">
        <v>230</v>
      </c>
      <c r="F69" s="5" t="s">
        <v>214</v>
      </c>
      <c r="G69" s="5" t="s">
        <v>22</v>
      </c>
      <c r="H69" s="5" t="s">
        <v>215</v>
      </c>
      <c r="I69" s="136">
        <v>45979</v>
      </c>
      <c r="J69" s="137">
        <v>328.32</v>
      </c>
      <c r="K69" s="137">
        <v>328.32</v>
      </c>
      <c r="L69" s="7">
        <v>2420000000</v>
      </c>
      <c r="M69" s="7"/>
      <c r="N69" s="136">
        <v>31926</v>
      </c>
      <c r="O69" s="162"/>
      <c r="P69" s="138" t="s">
        <v>216</v>
      </c>
      <c r="Q69" s="54">
        <v>800000</v>
      </c>
      <c r="R69" s="54">
        <v>40</v>
      </c>
      <c r="S69" s="4">
        <f>+DATEDIF(N69,I69,"y")</f>
        <v>38</v>
      </c>
      <c r="T69" s="54">
        <f>+Q69*(R69-S69)/R69</f>
        <v>40000</v>
      </c>
      <c r="U69" s="37"/>
      <c r="V69" s="37"/>
    </row>
    <row r="70" spans="1:39" x14ac:dyDescent="0.55000000000000004">
      <c r="A70" s="159"/>
      <c r="B70" s="134"/>
      <c r="C70" s="5" t="s">
        <v>196</v>
      </c>
      <c r="D70" s="5" t="s">
        <v>1</v>
      </c>
      <c r="E70" s="5" t="s">
        <v>2</v>
      </c>
      <c r="F70" s="5" t="s">
        <v>197</v>
      </c>
      <c r="G70" s="5" t="s">
        <v>3</v>
      </c>
      <c r="H70" s="5" t="s">
        <v>10</v>
      </c>
      <c r="I70" s="5" t="s">
        <v>198</v>
      </c>
      <c r="J70" s="137" t="s">
        <v>199</v>
      </c>
      <c r="K70" s="137" t="s">
        <v>200</v>
      </c>
      <c r="L70" s="5" t="s">
        <v>201</v>
      </c>
      <c r="M70" s="7" t="s">
        <v>135</v>
      </c>
      <c r="N70" s="5" t="s">
        <v>202</v>
      </c>
      <c r="O70" s="160"/>
      <c r="P70" s="163" t="s">
        <v>223</v>
      </c>
      <c r="Q70" s="131" t="s">
        <v>224</v>
      </c>
      <c r="R70" s="131" t="s">
        <v>225</v>
      </c>
      <c r="S70" s="131" t="s">
        <v>117</v>
      </c>
      <c r="T70" s="144"/>
      <c r="U70" s="37"/>
      <c r="V70" s="37"/>
    </row>
    <row r="71" spans="1:39" x14ac:dyDescent="0.55000000000000004">
      <c r="A71" s="159"/>
      <c r="B71" s="134"/>
      <c r="C71" s="5" t="s">
        <v>212</v>
      </c>
      <c r="D71" s="5" t="s">
        <v>87</v>
      </c>
      <c r="E71" s="164" t="s">
        <v>230</v>
      </c>
      <c r="F71" s="5" t="s">
        <v>156</v>
      </c>
      <c r="G71" s="5" t="s">
        <v>22</v>
      </c>
      <c r="H71" s="5" t="s">
        <v>215</v>
      </c>
      <c r="I71" s="136">
        <v>45979</v>
      </c>
      <c r="J71" s="137">
        <v>250.9</v>
      </c>
      <c r="K71" s="137">
        <v>250.9</v>
      </c>
      <c r="L71" s="7">
        <v>2420000000</v>
      </c>
      <c r="M71" s="7"/>
      <c r="N71" s="136">
        <v>31926</v>
      </c>
      <c r="O71" s="162"/>
      <c r="P71" s="165">
        <f>+T69*K69</f>
        <v>13132800</v>
      </c>
      <c r="Q71" s="54">
        <f>+L71-P71</f>
        <v>2406867200</v>
      </c>
      <c r="R71" s="28">
        <f>+Q71/K71</f>
        <v>9592934.2367477082</v>
      </c>
      <c r="S71" s="151" t="e">
        <f>+VALUE(RIGHT(T70,7))</f>
        <v>#VALUE!</v>
      </c>
      <c r="T71" s="152" t="e">
        <f>+S71*R71</f>
        <v>#VALUE!</v>
      </c>
      <c r="U71" s="37"/>
      <c r="V71" s="37"/>
    </row>
    <row r="72" spans="1:39" s="169" customFormat="1" x14ac:dyDescent="0.55000000000000004">
      <c r="A72" s="159"/>
      <c r="B72" s="153"/>
      <c r="C72" s="4"/>
      <c r="D72" s="4"/>
      <c r="E72" s="4"/>
      <c r="F72" s="4"/>
      <c r="G72" s="4"/>
      <c r="H72" s="4"/>
      <c r="I72" s="4"/>
      <c r="J72" s="154"/>
      <c r="K72" s="154"/>
      <c r="L72" s="4"/>
      <c r="M72" s="8"/>
      <c r="N72" s="4"/>
      <c r="O72" s="166"/>
      <c r="P72" s="167"/>
      <c r="Q72" s="168"/>
      <c r="R72" s="168"/>
      <c r="T72" s="168"/>
      <c r="U72" s="168"/>
      <c r="V72" s="168"/>
    </row>
    <row r="73" spans="1:39" x14ac:dyDescent="0.55000000000000004">
      <c r="B73" s="153"/>
      <c r="J73" s="154"/>
      <c r="K73" s="154"/>
      <c r="M73" s="8"/>
      <c r="O73" s="170"/>
      <c r="P73" s="156"/>
      <c r="Q73" s="37"/>
      <c r="R73" s="37"/>
      <c r="T73" s="37"/>
      <c r="U73" s="37"/>
      <c r="V73" s="37"/>
    </row>
    <row r="74" spans="1:39" x14ac:dyDescent="0.55000000000000004">
      <c r="B74" s="171"/>
      <c r="C74" s="5" t="s">
        <v>196</v>
      </c>
      <c r="D74" s="5" t="s">
        <v>1</v>
      </c>
      <c r="E74" s="5" t="s">
        <v>2</v>
      </c>
      <c r="F74" s="5" t="s">
        <v>197</v>
      </c>
      <c r="G74" s="5" t="s">
        <v>3</v>
      </c>
      <c r="H74" s="5" t="s">
        <v>10</v>
      </c>
      <c r="I74" s="5" t="s">
        <v>198</v>
      </c>
      <c r="J74" s="137" t="s">
        <v>199</v>
      </c>
      <c r="K74" s="137" t="s">
        <v>200</v>
      </c>
      <c r="L74" s="5" t="s">
        <v>201</v>
      </c>
      <c r="M74" s="5" t="s">
        <v>135</v>
      </c>
      <c r="N74" s="5" t="s">
        <v>202</v>
      </c>
      <c r="O74" s="5" t="s">
        <v>202</v>
      </c>
      <c r="P74" s="130"/>
      <c r="Q74" s="131" t="s">
        <v>203</v>
      </c>
      <c r="R74" s="131" t="s">
        <v>204</v>
      </c>
      <c r="S74" s="131" t="s">
        <v>205</v>
      </c>
      <c r="T74" s="131" t="s">
        <v>206</v>
      </c>
      <c r="U74" s="37" t="s">
        <v>1</v>
      </c>
      <c r="V74" s="4" t="s">
        <v>2</v>
      </c>
      <c r="W74" s="4" t="s">
        <v>3</v>
      </c>
      <c r="X74" s="4" t="s">
        <v>4</v>
      </c>
      <c r="Y74" s="4" t="s">
        <v>5</v>
      </c>
      <c r="Z74" s="4" t="s">
        <v>6</v>
      </c>
      <c r="AA74" s="4" t="s">
        <v>7</v>
      </c>
      <c r="AB74" s="4" t="s">
        <v>8</v>
      </c>
      <c r="AC74" s="4" t="s">
        <v>9</v>
      </c>
      <c r="AD74" s="4" t="s">
        <v>10</v>
      </c>
      <c r="AE74" s="4" t="s">
        <v>11</v>
      </c>
      <c r="AF74" s="4" t="s">
        <v>12</v>
      </c>
      <c r="AG74" s="4" t="s">
        <v>13</v>
      </c>
      <c r="AH74" s="4" t="s">
        <v>14</v>
      </c>
      <c r="AI74" s="4" t="s">
        <v>15</v>
      </c>
      <c r="AJ74" s="4" t="s">
        <v>16</v>
      </c>
      <c r="AK74" s="4" t="s">
        <v>17</v>
      </c>
      <c r="AL74" s="4" t="s">
        <v>18</v>
      </c>
    </row>
    <row r="75" spans="1:39" x14ac:dyDescent="0.55000000000000004">
      <c r="B75" s="171"/>
      <c r="C75" s="5" t="s">
        <v>212</v>
      </c>
      <c r="D75" s="5" t="s">
        <v>87</v>
      </c>
      <c r="E75" s="172" t="s">
        <v>231</v>
      </c>
      <c r="F75" s="5" t="s">
        <v>214</v>
      </c>
      <c r="G75" s="5" t="s">
        <v>22</v>
      </c>
      <c r="H75" s="5" t="s">
        <v>215</v>
      </c>
      <c r="I75" s="136">
        <v>46002</v>
      </c>
      <c r="J75" s="137">
        <v>166.95</v>
      </c>
      <c r="K75" s="137">
        <v>166.95</v>
      </c>
      <c r="L75" s="7">
        <v>725000000</v>
      </c>
      <c r="M75" s="7"/>
      <c r="N75" s="136">
        <v>31373</v>
      </c>
      <c r="O75" s="136">
        <v>31373</v>
      </c>
      <c r="P75" s="138" t="s">
        <v>216</v>
      </c>
      <c r="Q75" s="54">
        <v>800000</v>
      </c>
      <c r="R75" s="54">
        <v>40</v>
      </c>
      <c r="S75" s="4">
        <v>30</v>
      </c>
      <c r="T75" s="54">
        <f>+Q75*(R75-S75)/R75</f>
        <v>200000</v>
      </c>
      <c r="U75" s="173" t="s">
        <v>20</v>
      </c>
      <c r="V75" s="4" t="s">
        <v>231</v>
      </c>
      <c r="W75" s="4" t="s">
        <v>22</v>
      </c>
      <c r="X75" s="8">
        <v>105.8</v>
      </c>
      <c r="Y75" s="8">
        <v>3342000</v>
      </c>
      <c r="Z75" s="4" t="s">
        <v>23</v>
      </c>
      <c r="AA75" s="4" t="s">
        <v>24</v>
      </c>
      <c r="AB75" s="4" t="s">
        <v>232</v>
      </c>
      <c r="AC75" s="4" t="s">
        <v>26</v>
      </c>
      <c r="AD75" s="4" t="s">
        <v>27</v>
      </c>
      <c r="AE75" s="4" t="s">
        <v>233</v>
      </c>
      <c r="AG75" s="4" t="s">
        <v>29</v>
      </c>
      <c r="AH75" s="4">
        <v>0</v>
      </c>
      <c r="AI75" s="8" t="s">
        <v>30</v>
      </c>
      <c r="AJ75" s="8">
        <v>3285000</v>
      </c>
      <c r="AK75" s="8">
        <v>3237000</v>
      </c>
      <c r="AL75" s="4" t="s">
        <v>31</v>
      </c>
    </row>
    <row r="76" spans="1:39" x14ac:dyDescent="0.55000000000000004">
      <c r="B76" s="171"/>
      <c r="C76" s="139" t="s">
        <v>196</v>
      </c>
      <c r="D76" s="139" t="s">
        <v>1</v>
      </c>
      <c r="E76" s="139" t="s">
        <v>2</v>
      </c>
      <c r="F76" s="139" t="s">
        <v>197</v>
      </c>
      <c r="G76" s="139" t="s">
        <v>3</v>
      </c>
      <c r="H76" s="139" t="s">
        <v>10</v>
      </c>
      <c r="I76" s="139" t="s">
        <v>198</v>
      </c>
      <c r="J76" s="140" t="s">
        <v>199</v>
      </c>
      <c r="K76" s="140" t="s">
        <v>200</v>
      </c>
      <c r="L76" s="139" t="s">
        <v>201</v>
      </c>
      <c r="M76" s="139" t="s">
        <v>135</v>
      </c>
      <c r="N76" s="141" t="s">
        <v>202</v>
      </c>
      <c r="O76" s="139" t="s">
        <v>202</v>
      </c>
      <c r="P76" s="142" t="s">
        <v>223</v>
      </c>
      <c r="Q76" s="143" t="s">
        <v>224</v>
      </c>
      <c r="R76" s="143" t="s">
        <v>225</v>
      </c>
      <c r="S76" s="131" t="s">
        <v>117</v>
      </c>
      <c r="T76" s="144" t="s">
        <v>234</v>
      </c>
      <c r="U76" s="145" t="s">
        <v>227</v>
      </c>
      <c r="V76" s="21" t="s">
        <v>104</v>
      </c>
      <c r="W76" s="21" t="s">
        <v>105</v>
      </c>
      <c r="X76" s="21" t="s">
        <v>106</v>
      </c>
      <c r="Y76" s="21" t="s">
        <v>107</v>
      </c>
      <c r="Z76" s="21" t="s">
        <v>108</v>
      </c>
      <c r="AA76" s="21" t="s">
        <v>109</v>
      </c>
      <c r="AB76" s="21" t="s">
        <v>110</v>
      </c>
    </row>
    <row r="77" spans="1:39" x14ac:dyDescent="0.55000000000000004">
      <c r="B77" s="171">
        <v>2</v>
      </c>
      <c r="C77" s="139" t="s">
        <v>212</v>
      </c>
      <c r="D77" s="139" t="s">
        <v>87</v>
      </c>
      <c r="E77" s="146" t="s">
        <v>231</v>
      </c>
      <c r="F77" s="139" t="s">
        <v>156</v>
      </c>
      <c r="G77" s="139" t="s">
        <v>22</v>
      </c>
      <c r="H77" s="139" t="s">
        <v>215</v>
      </c>
      <c r="I77" s="147">
        <v>46002</v>
      </c>
      <c r="J77" s="140">
        <v>105.8</v>
      </c>
      <c r="K77" s="140">
        <v>105.8</v>
      </c>
      <c r="L77" s="141">
        <v>725000000</v>
      </c>
      <c r="M77" s="141"/>
      <c r="N77" s="141">
        <v>31373</v>
      </c>
      <c r="O77" s="147">
        <v>31373</v>
      </c>
      <c r="P77" s="148">
        <f>+T75*K75</f>
        <v>33389999.999999996</v>
      </c>
      <c r="Q77" s="149">
        <f>+L77-P77</f>
        <v>691610000</v>
      </c>
      <c r="R77" s="150">
        <f>+Q77/K77</f>
        <v>6536956.5217391308</v>
      </c>
      <c r="S77" s="151">
        <f>+VALUE(RIGHT(T76,7))</f>
        <v>1.0122199999999999</v>
      </c>
      <c r="T77" s="152">
        <f>+S77*R77</f>
        <v>6616838.1304347822</v>
      </c>
      <c r="V77" s="5">
        <v>1</v>
      </c>
      <c r="W77" s="5">
        <v>1</v>
      </c>
      <c r="X77" s="5">
        <v>1</v>
      </c>
      <c r="Y77" s="5">
        <v>0.95</v>
      </c>
      <c r="Z77" s="5">
        <v>1</v>
      </c>
      <c r="AA77" s="5">
        <v>1</v>
      </c>
      <c r="AB77" s="61">
        <f>+ROUND(PRODUCT(V77:AA77),3)</f>
        <v>0.95</v>
      </c>
    </row>
    <row r="78" spans="1:39" s="8" customFormat="1" x14ac:dyDescent="0.55000000000000004">
      <c r="A78" s="1"/>
      <c r="B78" s="169"/>
      <c r="C78" s="4"/>
      <c r="D78" s="4"/>
      <c r="E78" s="174"/>
      <c r="F78" s="4"/>
      <c r="G78" s="4"/>
      <c r="H78" s="4"/>
      <c r="I78" s="3"/>
      <c r="J78" s="175"/>
      <c r="K78" s="175"/>
    </row>
    <row r="79" spans="1:39" s="8" customFormat="1" x14ac:dyDescent="0.55000000000000004">
      <c r="A79" s="1"/>
      <c r="B79" s="169"/>
      <c r="C79" s="4"/>
      <c r="D79" s="4"/>
      <c r="E79" s="174"/>
      <c r="F79" s="4"/>
      <c r="G79" s="4"/>
      <c r="H79" s="4"/>
      <c r="I79" s="3"/>
      <c r="J79" s="175"/>
      <c r="K79" s="175"/>
    </row>
    <row r="80" spans="1:39" x14ac:dyDescent="0.55000000000000004">
      <c r="B80" s="5"/>
      <c r="C80" s="139" t="s">
        <v>196</v>
      </c>
      <c r="D80" s="139" t="s">
        <v>1</v>
      </c>
      <c r="E80" s="139" t="s">
        <v>2</v>
      </c>
      <c r="F80" s="139" t="s">
        <v>197</v>
      </c>
      <c r="G80" s="139" t="s">
        <v>3</v>
      </c>
      <c r="H80" s="139" t="s">
        <v>10</v>
      </c>
      <c r="I80" s="139" t="s">
        <v>198</v>
      </c>
      <c r="J80" s="140" t="s">
        <v>199</v>
      </c>
      <c r="K80" s="140" t="s">
        <v>200</v>
      </c>
      <c r="L80" s="139" t="s">
        <v>201</v>
      </c>
      <c r="M80" s="139" t="s">
        <v>135</v>
      </c>
      <c r="N80" s="139" t="s">
        <v>202</v>
      </c>
      <c r="O80" s="139"/>
      <c r="P80" s="176"/>
      <c r="Q80" s="143" t="s">
        <v>203</v>
      </c>
      <c r="R80" s="143" t="s">
        <v>204</v>
      </c>
      <c r="S80" s="143" t="s">
        <v>205</v>
      </c>
      <c r="T80" s="143" t="s">
        <v>206</v>
      </c>
      <c r="U80" s="37"/>
      <c r="V80" s="157" t="str">
        <f>+$C$22&amp;"/" &amp;AD75</f>
        <v>세로(가)/2종일주</v>
      </c>
      <c r="W80" s="158"/>
      <c r="X80" s="158" t="s">
        <v>235</v>
      </c>
      <c r="Y80" s="157" t="str">
        <f>+$D$22&amp;"/" &amp;AA75</f>
        <v>세장형/평지</v>
      </c>
      <c r="Z80" s="177" t="str">
        <f>+$H$22&amp;"/" &amp;X75</f>
        <v>없음/105.8</v>
      </c>
    </row>
    <row r="81" spans="2:28" ht="30" x14ac:dyDescent="0.55000000000000004">
      <c r="B81" s="5"/>
      <c r="C81" s="139" t="s">
        <v>212</v>
      </c>
      <c r="D81" s="139" t="s">
        <v>87</v>
      </c>
      <c r="E81" s="139" t="s">
        <v>236</v>
      </c>
      <c r="F81" s="139" t="s">
        <v>214</v>
      </c>
      <c r="G81" s="139" t="s">
        <v>22</v>
      </c>
      <c r="H81" s="139" t="s">
        <v>215</v>
      </c>
      <c r="I81" s="147">
        <v>45839</v>
      </c>
      <c r="J81" s="140">
        <v>198.14</v>
      </c>
      <c r="K81" s="140">
        <v>198.14</v>
      </c>
      <c r="L81" s="141">
        <v>1070000000</v>
      </c>
      <c r="M81" s="139"/>
      <c r="N81" s="147">
        <v>40984</v>
      </c>
      <c r="O81" s="147"/>
      <c r="P81" s="178" t="s">
        <v>237</v>
      </c>
      <c r="Q81" s="149">
        <v>1500000</v>
      </c>
      <c r="R81" s="149">
        <v>50</v>
      </c>
      <c r="S81" s="179">
        <f>+DATEDIF(N81,I81,"y")</f>
        <v>13</v>
      </c>
      <c r="T81" s="149">
        <f>+Q81*(R81-S81)/R81</f>
        <v>1110000</v>
      </c>
      <c r="U81" s="37"/>
      <c r="V81" s="37"/>
    </row>
    <row r="82" spans="2:28" x14ac:dyDescent="0.55000000000000004">
      <c r="B82" s="5"/>
      <c r="C82" s="139" t="s">
        <v>196</v>
      </c>
      <c r="D82" s="139" t="s">
        <v>1</v>
      </c>
      <c r="E82" s="139" t="s">
        <v>2</v>
      </c>
      <c r="F82" s="139" t="s">
        <v>197</v>
      </c>
      <c r="G82" s="139" t="s">
        <v>3</v>
      </c>
      <c r="H82" s="139" t="s">
        <v>10</v>
      </c>
      <c r="I82" s="139" t="s">
        <v>198</v>
      </c>
      <c r="J82" s="140" t="s">
        <v>199</v>
      </c>
      <c r="K82" s="140" t="s">
        <v>200</v>
      </c>
      <c r="L82" s="139" t="s">
        <v>201</v>
      </c>
      <c r="M82" s="139" t="s">
        <v>135</v>
      </c>
      <c r="N82" s="139" t="s">
        <v>202</v>
      </c>
      <c r="O82" s="139"/>
      <c r="P82" s="143" t="s">
        <v>223</v>
      </c>
      <c r="Q82" s="143" t="s">
        <v>224</v>
      </c>
      <c r="R82" s="143" t="s">
        <v>225</v>
      </c>
      <c r="S82" s="143" t="s">
        <v>117</v>
      </c>
      <c r="T82" s="180" t="s">
        <v>238</v>
      </c>
      <c r="U82" s="145" t="s">
        <v>227</v>
      </c>
      <c r="V82" s="21" t="s">
        <v>104</v>
      </c>
      <c r="W82" s="21" t="s">
        <v>105</v>
      </c>
      <c r="X82" s="21" t="s">
        <v>106</v>
      </c>
      <c r="Y82" s="21" t="s">
        <v>107</v>
      </c>
      <c r="Z82" s="21" t="s">
        <v>108</v>
      </c>
      <c r="AA82" s="21" t="s">
        <v>109</v>
      </c>
      <c r="AB82" s="21" t="s">
        <v>110</v>
      </c>
    </row>
    <row r="83" spans="2:28" x14ac:dyDescent="0.55000000000000004">
      <c r="B83" s="5">
        <v>3</v>
      </c>
      <c r="C83" s="139" t="s">
        <v>212</v>
      </c>
      <c r="D83" s="139" t="s">
        <v>87</v>
      </c>
      <c r="E83" s="139" t="s">
        <v>236</v>
      </c>
      <c r="F83" s="139" t="s">
        <v>156</v>
      </c>
      <c r="G83" s="139" t="s">
        <v>22</v>
      </c>
      <c r="H83" s="139" t="s">
        <v>215</v>
      </c>
      <c r="I83" s="147">
        <v>45839</v>
      </c>
      <c r="J83" s="140">
        <v>116</v>
      </c>
      <c r="K83" s="140">
        <v>116</v>
      </c>
      <c r="L83" s="141">
        <v>1070000000</v>
      </c>
      <c r="M83" s="139"/>
      <c r="N83" s="147">
        <v>40984</v>
      </c>
      <c r="O83" s="147"/>
      <c r="P83" s="149">
        <f>+T81*K81</f>
        <v>219935399.99999997</v>
      </c>
      <c r="Q83" s="149">
        <f>+L83-P83</f>
        <v>850064600</v>
      </c>
      <c r="R83" s="150">
        <f>+Q83/K83</f>
        <v>7328143.1034482755</v>
      </c>
      <c r="S83" s="181">
        <f>+VALUE(RIGHT(T82,7))</f>
        <v>1.0310699999999999</v>
      </c>
      <c r="T83" s="150">
        <f>+S83*R83</f>
        <v>7555828.5096724126</v>
      </c>
      <c r="V83" s="5">
        <v>0.97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61">
        <f>+ROUND(PRODUCT(V83:AA83),3)</f>
        <v>0.97</v>
      </c>
    </row>
    <row r="84" spans="2:28" x14ac:dyDescent="0.55000000000000004">
      <c r="J84" s="154"/>
      <c r="K84" s="154"/>
      <c r="P84" s="37"/>
      <c r="Q84" s="37"/>
      <c r="R84" s="37"/>
      <c r="T84" s="37"/>
      <c r="U84" s="37"/>
      <c r="V84" s="37">
        <v>1</v>
      </c>
    </row>
    <row r="85" spans="2:28" x14ac:dyDescent="0.55000000000000004">
      <c r="J85" s="154"/>
      <c r="K85" s="154"/>
    </row>
    <row r="86" spans="2:28" x14ac:dyDescent="0.55000000000000004">
      <c r="B86" s="182"/>
      <c r="C86" s="182" t="s">
        <v>196</v>
      </c>
      <c r="D86" s="182" t="s">
        <v>1</v>
      </c>
      <c r="E86" s="182" t="s">
        <v>2</v>
      </c>
      <c r="F86" s="182" t="s">
        <v>197</v>
      </c>
      <c r="G86" s="182" t="s">
        <v>3</v>
      </c>
      <c r="H86" s="182" t="s">
        <v>10</v>
      </c>
      <c r="I86" s="182" t="s">
        <v>198</v>
      </c>
      <c r="J86" s="183" t="s">
        <v>199</v>
      </c>
      <c r="K86" s="183" t="s">
        <v>200</v>
      </c>
      <c r="L86" s="182" t="s">
        <v>201</v>
      </c>
      <c r="M86" s="182" t="s">
        <v>135</v>
      </c>
      <c r="N86" s="182" t="s">
        <v>202</v>
      </c>
      <c r="O86" s="182"/>
      <c r="P86" s="130"/>
      <c r="Q86" s="131" t="s">
        <v>203</v>
      </c>
      <c r="R86" s="131" t="s">
        <v>204</v>
      </c>
      <c r="S86" s="131" t="s">
        <v>205</v>
      </c>
      <c r="T86" s="131" t="s">
        <v>206</v>
      </c>
    </row>
    <row r="87" spans="2:28" x14ac:dyDescent="0.55000000000000004">
      <c r="B87" s="182"/>
      <c r="C87" s="182" t="s">
        <v>212</v>
      </c>
      <c r="D87" s="182" t="s">
        <v>87</v>
      </c>
      <c r="E87" s="182" t="s">
        <v>239</v>
      </c>
      <c r="F87" s="182" t="s">
        <v>214</v>
      </c>
      <c r="G87" s="182" t="s">
        <v>22</v>
      </c>
      <c r="H87" s="182" t="s">
        <v>215</v>
      </c>
      <c r="I87" s="184">
        <v>45609</v>
      </c>
      <c r="J87" s="183">
        <v>148.08000000000001</v>
      </c>
      <c r="K87" s="183">
        <v>148.08000000000001</v>
      </c>
      <c r="L87" s="87">
        <v>735000000</v>
      </c>
      <c r="M87" s="182"/>
      <c r="N87" s="184">
        <v>34227</v>
      </c>
      <c r="O87" s="182"/>
      <c r="P87" s="130" t="s">
        <v>216</v>
      </c>
      <c r="Q87" s="131">
        <v>800000</v>
      </c>
      <c r="R87" s="131">
        <v>40</v>
      </c>
      <c r="S87" s="182">
        <f>+DATEDIF(N87,I87,"y")</f>
        <v>31</v>
      </c>
      <c r="T87" s="131">
        <f>+Q87*(R87-S87)/R87</f>
        <v>180000</v>
      </c>
    </row>
    <row r="88" spans="2:28" x14ac:dyDescent="0.55000000000000004">
      <c r="B88" s="182"/>
      <c r="C88" s="5" t="s">
        <v>196</v>
      </c>
      <c r="D88" s="5" t="s">
        <v>1</v>
      </c>
      <c r="E88" s="5" t="s">
        <v>2</v>
      </c>
      <c r="F88" s="5" t="s">
        <v>197</v>
      </c>
      <c r="G88" s="5" t="s">
        <v>3</v>
      </c>
      <c r="H88" s="5" t="s">
        <v>10</v>
      </c>
      <c r="I88" s="5" t="s">
        <v>198</v>
      </c>
      <c r="J88" s="185" t="s">
        <v>199</v>
      </c>
      <c r="K88" s="185" t="s">
        <v>200</v>
      </c>
      <c r="L88" s="5" t="s">
        <v>201</v>
      </c>
      <c r="M88" s="5" t="s">
        <v>135</v>
      </c>
      <c r="N88" s="7" t="s">
        <v>202</v>
      </c>
      <c r="O88" s="5"/>
      <c r="P88" s="163" t="s">
        <v>223</v>
      </c>
      <c r="Q88" s="131" t="s">
        <v>224</v>
      </c>
      <c r="R88" s="131" t="s">
        <v>225</v>
      </c>
      <c r="S88" s="131" t="s">
        <v>117</v>
      </c>
      <c r="T88" s="186" t="s">
        <v>240</v>
      </c>
      <c r="V88" s="21" t="s">
        <v>104</v>
      </c>
      <c r="W88" s="21" t="s">
        <v>105</v>
      </c>
      <c r="X88" s="21" t="s">
        <v>106</v>
      </c>
      <c r="Y88" s="21" t="s">
        <v>107</v>
      </c>
      <c r="Z88" s="21" t="s">
        <v>108</v>
      </c>
      <c r="AA88" s="21" t="s">
        <v>109</v>
      </c>
      <c r="AB88" s="21" t="s">
        <v>110</v>
      </c>
    </row>
    <row r="89" spans="2:28" x14ac:dyDescent="0.55000000000000004">
      <c r="B89" s="182">
        <v>5</v>
      </c>
      <c r="C89" s="5" t="s">
        <v>212</v>
      </c>
      <c r="D89" s="5" t="s">
        <v>87</v>
      </c>
      <c r="E89" s="135" t="s">
        <v>239</v>
      </c>
      <c r="F89" s="5" t="s">
        <v>156</v>
      </c>
      <c r="G89" s="5" t="s">
        <v>22</v>
      </c>
      <c r="H89" s="5" t="s">
        <v>215</v>
      </c>
      <c r="I89" s="136">
        <v>45609</v>
      </c>
      <c r="J89" s="185">
        <v>102</v>
      </c>
      <c r="K89" s="185">
        <v>97</v>
      </c>
      <c r="L89" s="7">
        <v>735000000</v>
      </c>
      <c r="M89" s="7"/>
      <c r="N89" s="7">
        <v>34227</v>
      </c>
      <c r="O89" s="136"/>
      <c r="P89" s="165">
        <f>+T87*K87</f>
        <v>26654400.000000004</v>
      </c>
      <c r="Q89" s="54">
        <f>+L89-P89</f>
        <v>708345600</v>
      </c>
      <c r="R89" s="28">
        <f>+Q89/K89</f>
        <v>7302531.9587628869</v>
      </c>
      <c r="S89" s="151">
        <f>+VALUE(RIGHT(T88,7))</f>
        <v>1.0495300000000001</v>
      </c>
      <c r="T89" s="152">
        <f>+S89*R89</f>
        <v>7664226.3666804135</v>
      </c>
      <c r="V89" s="5">
        <v>0.95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61">
        <f>+ROUND(PRODUCT(V89:AA89),3)</f>
        <v>0.95</v>
      </c>
    </row>
    <row r="90" spans="2:28" x14ac:dyDescent="0.55000000000000004">
      <c r="J90" s="154"/>
      <c r="K90" s="154"/>
    </row>
    <row r="91" spans="2:28" x14ac:dyDescent="0.55000000000000004">
      <c r="J91" s="154"/>
      <c r="K91" s="154"/>
    </row>
    <row r="92" spans="2:28" x14ac:dyDescent="0.55000000000000004">
      <c r="J92" s="154"/>
      <c r="K92" s="154"/>
      <c r="P92" s="4">
        <v>1</v>
      </c>
    </row>
    <row r="93" spans="2:28" x14ac:dyDescent="0.55000000000000004">
      <c r="B93" s="126" t="s">
        <v>194</v>
      </c>
      <c r="C93" s="127"/>
      <c r="D93" s="127"/>
      <c r="E93" s="127"/>
      <c r="F93" s="127"/>
      <c r="G93" s="127"/>
      <c r="H93" s="127"/>
      <c r="J93" s="154"/>
      <c r="K93" s="154"/>
      <c r="P93" s="4">
        <v>2</v>
      </c>
    </row>
    <row r="94" spans="2:28" x14ac:dyDescent="0.55000000000000004">
      <c r="P94" s="4">
        <v>3</v>
      </c>
    </row>
    <row r="95" spans="2:28" x14ac:dyDescent="0.55000000000000004">
      <c r="P95" s="4">
        <v>4</v>
      </c>
    </row>
    <row r="96" spans="2:28" x14ac:dyDescent="0.55000000000000004">
      <c r="P96" s="4">
        <v>5</v>
      </c>
    </row>
    <row r="97" spans="16:16" x14ac:dyDescent="0.55000000000000004">
      <c r="P97" s="4">
        <v>6</v>
      </c>
    </row>
    <row r="98" spans="16:16" x14ac:dyDescent="0.55000000000000004">
      <c r="P98" s="4">
        <v>7</v>
      </c>
    </row>
    <row r="99" spans="16:16" x14ac:dyDescent="0.55000000000000004">
      <c r="P99" s="4">
        <v>8</v>
      </c>
    </row>
    <row r="100" spans="16:16" x14ac:dyDescent="0.55000000000000004">
      <c r="P100" s="4">
        <v>9</v>
      </c>
    </row>
    <row r="101" spans="16:16" x14ac:dyDescent="0.55000000000000004">
      <c r="P101" s="4">
        <v>10</v>
      </c>
    </row>
    <row r="102" spans="16:16" x14ac:dyDescent="0.55000000000000004">
      <c r="P102" s="4">
        <v>11</v>
      </c>
    </row>
    <row r="103" spans="16:16" x14ac:dyDescent="0.55000000000000004">
      <c r="P103" s="4">
        <v>12</v>
      </c>
    </row>
    <row r="104" spans="16:16" x14ac:dyDescent="0.55000000000000004">
      <c r="P104" s="4">
        <v>13</v>
      </c>
    </row>
    <row r="105" spans="16:16" x14ac:dyDescent="0.55000000000000004">
      <c r="P105" s="4">
        <v>14</v>
      </c>
    </row>
  </sheetData>
  <mergeCells count="5">
    <mergeCell ref="E6:E7"/>
    <mergeCell ref="B14:H15"/>
    <mergeCell ref="O14:O15"/>
    <mergeCell ref="P14:P15"/>
    <mergeCell ref="B56:H5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643A-FC00-4B01-BB45-ED13142553D5}">
  <sheetPr>
    <tabColor rgb="FFFFFF00"/>
  </sheetPr>
  <dimension ref="B3:P12"/>
  <sheetViews>
    <sheetView showGridLines="0" tabSelected="1" zoomScale="115" zoomScaleNormal="115" workbookViewId="0">
      <selection activeCell="O18" sqref="O18"/>
    </sheetView>
  </sheetViews>
  <sheetFormatPr defaultColWidth="8.5703125" defaultRowHeight="15" x14ac:dyDescent="0.55000000000000004"/>
  <cols>
    <col min="1" max="1" width="8.5703125" style="187"/>
    <col min="2" max="2" width="4.2109375" style="187" bestFit="1" customWidth="1"/>
    <col min="3" max="3" width="5.85546875" style="187" bestFit="1" customWidth="1"/>
    <col min="4" max="4" width="5" style="187" bestFit="1" customWidth="1"/>
    <col min="5" max="5" width="12.35546875" style="187" bestFit="1" customWidth="1"/>
    <col min="6" max="6" width="21.5703125" style="187" bestFit="1" customWidth="1"/>
    <col min="7" max="7" width="9.2109375" style="187" bestFit="1" customWidth="1"/>
    <col min="8" max="8" width="8.5703125" style="187"/>
    <col min="9" max="9" width="6.2109375" style="187" bestFit="1" customWidth="1"/>
    <col min="10" max="10" width="17.35546875" style="187" bestFit="1" customWidth="1"/>
    <col min="11" max="11" width="10.0703125" style="187" bestFit="1" customWidth="1"/>
    <col min="12" max="12" width="7.0703125" style="187" bestFit="1" customWidth="1"/>
    <col min="13" max="13" width="15.2109375" style="187" customWidth="1"/>
    <col min="14" max="14" width="7.0703125" style="187" bestFit="1" customWidth="1"/>
    <col min="15" max="15" width="7.7109375" style="187" bestFit="1" customWidth="1"/>
    <col min="16" max="16" width="10.5703125" style="187" bestFit="1" customWidth="1"/>
    <col min="17" max="16384" width="8.5703125" style="187"/>
  </cols>
  <sheetData>
    <row r="3" spans="2:16" x14ac:dyDescent="0.55000000000000004">
      <c r="F3" s="187" t="s">
        <v>241</v>
      </c>
      <c r="G3" s="188">
        <v>35474</v>
      </c>
    </row>
    <row r="4" spans="2:16" x14ac:dyDescent="0.55000000000000004">
      <c r="B4" s="189" t="s">
        <v>211</v>
      </c>
      <c r="C4" s="189" t="s">
        <v>242</v>
      </c>
      <c r="D4" s="189" t="s">
        <v>243</v>
      </c>
      <c r="E4" s="189" t="s">
        <v>244</v>
      </c>
      <c r="F4" s="189" t="s">
        <v>245</v>
      </c>
      <c r="G4" s="189" t="s">
        <v>246</v>
      </c>
      <c r="K4" s="187" t="s">
        <v>203</v>
      </c>
      <c r="L4" s="187" t="s">
        <v>204</v>
      </c>
      <c r="M4" s="187" t="s">
        <v>247</v>
      </c>
      <c r="N4" s="187" t="s">
        <v>248</v>
      </c>
      <c r="O4" s="187" t="s">
        <v>121</v>
      </c>
      <c r="P4" s="187" t="s">
        <v>249</v>
      </c>
    </row>
    <row r="5" spans="2:16" x14ac:dyDescent="0.55000000000000004">
      <c r="B5" s="190" t="s">
        <v>250</v>
      </c>
      <c r="C5" s="190" t="s">
        <v>251</v>
      </c>
      <c r="D5" s="190" t="s">
        <v>252</v>
      </c>
      <c r="E5" s="190" t="s">
        <v>253</v>
      </c>
      <c r="F5" s="190" t="s">
        <v>254</v>
      </c>
      <c r="G5" s="191">
        <v>71.739999999999995</v>
      </c>
      <c r="I5" s="187">
        <f>+G5</f>
        <v>71.739999999999995</v>
      </c>
      <c r="J5" s="192" t="str">
        <f>+F5</f>
        <v>주택(2가구)</v>
      </c>
      <c r="K5" s="193">
        <v>900000</v>
      </c>
      <c r="L5" s="194">
        <v>45</v>
      </c>
      <c r="M5" s="192">
        <f>+DATEDIF($G$3,[1]토지산출!$C$1,"y")</f>
        <v>29</v>
      </c>
      <c r="N5" s="195">
        <f>+K5*(L5-M5)/L5</f>
        <v>320000</v>
      </c>
      <c r="O5" s="195">
        <f>+ROUNDDOWN(N5,-3)</f>
        <v>320000</v>
      </c>
      <c r="P5" s="195">
        <f>+O5*G5</f>
        <v>22956800</v>
      </c>
    </row>
    <row r="6" spans="2:16" x14ac:dyDescent="0.55000000000000004">
      <c r="B6" s="190" t="s">
        <v>250</v>
      </c>
      <c r="C6" s="190" t="s">
        <v>255</v>
      </c>
      <c r="D6" s="190" t="s">
        <v>256</v>
      </c>
      <c r="E6" s="190" t="s">
        <v>253</v>
      </c>
      <c r="F6" s="190" t="s">
        <v>254</v>
      </c>
      <c r="G6" s="191">
        <v>71.739999999999995</v>
      </c>
      <c r="I6" s="187">
        <f t="shared" ref="I6:I8" si="0">+G6</f>
        <v>71.739999999999995</v>
      </c>
      <c r="J6" s="192" t="str">
        <f t="shared" ref="J6:J7" si="1">+F6</f>
        <v>주택(2가구)</v>
      </c>
      <c r="K6" s="193">
        <v>950000</v>
      </c>
      <c r="L6" s="194">
        <f>+L5</f>
        <v>45</v>
      </c>
      <c r="M6" s="192">
        <f>+DATEDIF($G$3,[1]토지산출!$C$1,"y")</f>
        <v>29</v>
      </c>
      <c r="N6" s="195">
        <f>+K6*(L6-M6)/L6</f>
        <v>337777.77777777775</v>
      </c>
      <c r="O6" s="195">
        <f>+ROUNDDOWN(N6,-3)</f>
        <v>337000</v>
      </c>
      <c r="P6" s="195">
        <f>+O6*G6</f>
        <v>24176380</v>
      </c>
    </row>
    <row r="7" spans="2:16" x14ac:dyDescent="0.55000000000000004">
      <c r="B7" s="190" t="s">
        <v>250</v>
      </c>
      <c r="C7" s="190" t="s">
        <v>255</v>
      </c>
      <c r="D7" s="190" t="s">
        <v>257</v>
      </c>
      <c r="E7" s="190" t="s">
        <v>253</v>
      </c>
      <c r="F7" s="190" t="s">
        <v>258</v>
      </c>
      <c r="G7" s="191">
        <v>68.739999999999995</v>
      </c>
      <c r="I7" s="187">
        <f t="shared" si="0"/>
        <v>68.739999999999995</v>
      </c>
      <c r="J7" s="192" t="str">
        <f t="shared" si="1"/>
        <v>주택(1가구)</v>
      </c>
      <c r="K7" s="193">
        <f>+K6</f>
        <v>950000</v>
      </c>
      <c r="L7" s="194">
        <f>+L6</f>
        <v>45</v>
      </c>
      <c r="M7" s="192">
        <f>+DATEDIF($G$3,[1]토지산출!$C$1,"y")</f>
        <v>29</v>
      </c>
      <c r="N7" s="195">
        <f>+K7*(L7-M7)/L7</f>
        <v>337777.77777777775</v>
      </c>
      <c r="O7" s="195">
        <f>+ROUNDDOWN(N7,-3)</f>
        <v>337000</v>
      </c>
      <c r="P7" s="195">
        <f>+O7*I7</f>
        <v>23165380</v>
      </c>
    </row>
    <row r="8" spans="2:16" ht="23.15" x14ac:dyDescent="0.55000000000000004">
      <c r="B8" s="190" t="s">
        <v>250</v>
      </c>
      <c r="C8" s="190" t="s">
        <v>259</v>
      </c>
      <c r="D8" s="190" t="s">
        <v>260</v>
      </c>
      <c r="E8" s="190" t="s">
        <v>253</v>
      </c>
      <c r="F8" s="190" t="s">
        <v>261</v>
      </c>
      <c r="G8" s="191">
        <v>9.5</v>
      </c>
      <c r="I8" s="187">
        <f t="shared" si="0"/>
        <v>9.5</v>
      </c>
      <c r="J8" s="190" t="s">
        <v>260</v>
      </c>
      <c r="K8" s="193">
        <v>750000</v>
      </c>
      <c r="L8" s="194">
        <f>+L7</f>
        <v>45</v>
      </c>
      <c r="M8" s="192">
        <f>+DATEDIF($G$3,[1]토지산출!$C$1,"y")</f>
        <v>29</v>
      </c>
      <c r="N8" s="195">
        <f>+K8*(L8-M8)/L8</f>
        <v>266666.66666666669</v>
      </c>
      <c r="O8" s="195">
        <f>+ROUNDDOWN(N8,-3)</f>
        <v>266000</v>
      </c>
      <c r="P8" s="195">
        <f>+O8*I8</f>
        <v>2527000</v>
      </c>
    </row>
    <row r="9" spans="2:16" x14ac:dyDescent="0.55000000000000004">
      <c r="B9" s="196"/>
      <c r="C9" s="196"/>
      <c r="D9" s="196"/>
      <c r="E9" s="196"/>
      <c r="F9" s="196"/>
      <c r="G9" s="197">
        <f>+SUM(G5:G8)</f>
        <v>221.71999999999997</v>
      </c>
      <c r="P9" s="198">
        <f>+SUM(P5:P8)</f>
        <v>72825560</v>
      </c>
    </row>
    <row r="10" spans="2:16" x14ac:dyDescent="0.55000000000000004">
      <c r="B10" s="196"/>
      <c r="C10" s="196"/>
      <c r="D10" s="196"/>
      <c r="E10" s="196"/>
      <c r="F10" s="196"/>
      <c r="G10" s="197"/>
    </row>
    <row r="11" spans="2:16" x14ac:dyDescent="0.55000000000000004">
      <c r="B11" s="196"/>
      <c r="C11" s="196"/>
      <c r="D11" s="196"/>
      <c r="E11" s="196"/>
      <c r="F11" s="196"/>
      <c r="G11" s="196"/>
    </row>
    <row r="12" spans="2:16" x14ac:dyDescent="0.55000000000000004">
      <c r="B12" s="196"/>
      <c r="C12" s="196"/>
      <c r="D12" s="196"/>
      <c r="E12" s="196"/>
      <c r="F12" s="196"/>
      <c r="G12" s="19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토지산출 (2)</vt:lpstr>
      <vt:lpstr>건물산출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우진 정</dc:creator>
  <cp:lastModifiedBy>우진 정</cp:lastModifiedBy>
  <dcterms:created xsi:type="dcterms:W3CDTF">2026-07-01T01:50:07Z</dcterms:created>
  <dcterms:modified xsi:type="dcterms:W3CDTF">2026-07-01T01:50:51Z</dcterms:modified>
</cp:coreProperties>
</file>