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gI1rDZvSlMsOOhT7TdIvqxeFvSn_SEHF\하감\HI260521-2002(박충수 신도림동 구로기계공구상가 2개호수 특관) 정우진\1. 감정평가서\"/>
    </mc:Choice>
  </mc:AlternateContent>
  <xr:revisionPtr revIDLastSave="0" documentId="13_ncr:1_{3FECADB7-B1E8-4C59-B661-CD020643B936}" xr6:coauthVersionLast="47" xr6:coauthVersionMax="47" xr10:uidLastSave="{00000000-0000-0000-0000-000000000000}"/>
  <bookViews>
    <workbookView xWindow="57480" yWindow="14250" windowWidth="29040" windowHeight="17520" tabRatio="724" xr2:uid="{00000000-000D-0000-FFFF-FFFF00000000}"/>
  </bookViews>
  <sheets>
    <sheet name="Sheet2" sheetId="4" r:id="rId1"/>
  </sheets>
  <definedNames>
    <definedName name="_xlnm.Database">#REF!</definedName>
    <definedName name="_xlnm.Print_Area" localSheetId="0">Sheet2!$B$1:$J$91</definedName>
    <definedName name="잔가율">#REF!</definedName>
    <definedName name="정율">#REF!</definedName>
    <definedName name="정율표">#REF!</definedName>
  </definedName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<sst xmlns="http://schemas.openxmlformats.org/spreadsheetml/2006/main" count="120" uniqueCount="60">
  <si>
    <t>일련
번호</t>
  </si>
  <si>
    <t>지목 및
용   도</t>
  </si>
  <si>
    <t>감 정 평 가 액</t>
  </si>
  <si>
    <t>용도지역
및  구조</t>
  </si>
  <si>
    <t>공 부</t>
  </si>
  <si>
    <t>지 번</t>
  </si>
  <si>
    <t>사 정</t>
  </si>
  <si>
    <t>비 고</t>
  </si>
  <si>
    <t>소재지</t>
  </si>
  <si>
    <t>(내)</t>
    <phoneticPr fontId="6" type="noConversion"/>
  </si>
  <si>
    <t>가</t>
    <phoneticPr fontId="6" type="noConversion"/>
  </si>
  <si>
    <t>1층</t>
    <phoneticPr fontId="6" type="noConversion"/>
  </si>
  <si>
    <t>대</t>
    <phoneticPr fontId="6" type="noConversion"/>
  </si>
  <si>
    <t>면  적  (㎡)</t>
    <phoneticPr fontId="6" type="noConversion"/>
  </si>
  <si>
    <t/>
  </si>
  <si>
    <t>금액(원)</t>
    <phoneticPr fontId="6" type="noConversion"/>
  </si>
  <si>
    <t>비준가액</t>
    <phoneticPr fontId="6" type="noConversion"/>
  </si>
  <si>
    <t>공용면적</t>
    <phoneticPr fontId="6" type="noConversion"/>
  </si>
  <si>
    <t>포함</t>
    <phoneticPr fontId="6" type="noConversion"/>
  </si>
  <si>
    <t>(구분건물)감정평가명세표</t>
    <phoneticPr fontId="6" type="noConversion"/>
  </si>
  <si>
    <t>[도로명주소]</t>
    <phoneticPr fontId="6" type="noConversion"/>
  </si>
  <si>
    <t>서울특별시</t>
    <phoneticPr fontId="6" type="noConversion"/>
  </si>
  <si>
    <t>1. 소유권 대지권</t>
    <phoneticPr fontId="6" type="noConversion"/>
  </si>
  <si>
    <t>철근콘크리트조</t>
    <phoneticPr fontId="6" type="noConversion"/>
  </si>
  <si>
    <t>구로구</t>
    <phoneticPr fontId="6" type="noConversion"/>
  </si>
  <si>
    <t>신도림동</t>
    <phoneticPr fontId="6" type="noConversion"/>
  </si>
  <si>
    <t>406-1</t>
    <phoneticPr fontId="6" type="noConversion"/>
  </si>
  <si>
    <t>604-1</t>
    <phoneticPr fontId="6" type="noConversion"/>
  </si>
  <si>
    <t>406-21</t>
    <phoneticPr fontId="6" type="noConversion"/>
  </si>
  <si>
    <t>604-25</t>
    <phoneticPr fontId="6" type="noConversion"/>
  </si>
  <si>
    <t>606-1</t>
    <phoneticPr fontId="6" type="noConversion"/>
  </si>
  <si>
    <t>606-8</t>
    <phoneticPr fontId="6" type="noConversion"/>
  </si>
  <si>
    <t>구로동</t>
    <phoneticPr fontId="6" type="noConversion"/>
  </si>
  <si>
    <t>588-4</t>
    <phoneticPr fontId="6" type="noConversion"/>
  </si>
  <si>
    <t>406-10</t>
    <phoneticPr fontId="6" type="noConversion"/>
  </si>
  <si>
    <t>사무실,</t>
    <phoneticPr fontId="6" type="noConversion"/>
  </si>
  <si>
    <t>점포,</t>
    <phoneticPr fontId="6" type="noConversion"/>
  </si>
  <si>
    <t>주차장</t>
    <phoneticPr fontId="6" type="noConversion"/>
  </si>
  <si>
    <t>17동</t>
    <phoneticPr fontId="6" type="noConversion"/>
  </si>
  <si>
    <t>철근콘크리트조,</t>
    <phoneticPr fontId="6" type="noConversion"/>
  </si>
  <si>
    <t>철골조</t>
    <phoneticPr fontId="6" type="noConversion"/>
  </si>
  <si>
    <t>3층</t>
    <phoneticPr fontId="6" type="noConversion"/>
  </si>
  <si>
    <t>2층</t>
    <phoneticPr fontId="6" type="noConversion"/>
  </si>
  <si>
    <t>구로중앙로</t>
    <phoneticPr fontId="6" type="noConversion"/>
  </si>
  <si>
    <t>(구로동)</t>
    <phoneticPr fontId="6" type="noConversion"/>
  </si>
  <si>
    <t>준공업지역</t>
    <phoneticPr fontId="6" type="noConversion"/>
  </si>
  <si>
    <t>계단실</t>
    <phoneticPr fontId="6" type="noConversion"/>
  </si>
  <si>
    <t>점포</t>
    <phoneticPr fontId="6" type="noConversion"/>
  </si>
  <si>
    <t>제1층 제119호</t>
    <phoneticPr fontId="6" type="noConversion"/>
  </si>
  <si>
    <t>2. 소유권 대지권</t>
    <phoneticPr fontId="6" type="noConversion"/>
  </si>
  <si>
    <t>3. 소유권 대지권</t>
    <phoneticPr fontId="6" type="noConversion"/>
  </si>
  <si>
    <t>4. 소유권 대지권</t>
    <phoneticPr fontId="6" type="noConversion"/>
  </si>
  <si>
    <t>5. 소유권 대지권</t>
    <phoneticPr fontId="6" type="noConversion"/>
  </si>
  <si>
    <t>8. 소유권 대지권</t>
    <phoneticPr fontId="6" type="noConversion"/>
  </si>
  <si>
    <t>계단실,</t>
    <phoneticPr fontId="6" type="noConversion"/>
  </si>
  <si>
    <t>복도,</t>
    <phoneticPr fontId="6" type="noConversion"/>
  </si>
  <si>
    <t>화장실</t>
    <phoneticPr fontId="6" type="noConversion"/>
  </si>
  <si>
    <t>사무실</t>
    <phoneticPr fontId="6" type="noConversion"/>
  </si>
  <si>
    <t>나</t>
    <phoneticPr fontId="6" type="noConversion"/>
  </si>
  <si>
    <t>제2층 제219호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</si>
</sst>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 &quot;₩&quot;* #,##0.00_ ;_ &quot;₩&quot;* &quot;₩&quot;&quot;₩&quot;&quot;₩&quot;\-#,##0.00_ ;_ &quot;₩&quot;* &quot;-&quot;??_ ;_ @_ "/>
    <numFmt numFmtId="177" formatCode="_(&quot;$&quot;* #,##0_);_(&quot;$&quot;* &quot;₩&quot;&quot;₩&quot;&quot;₩&quot;&quot;₩&quot;\(#,##0&quot;₩&quot;&quot;₩&quot;&quot;₩&quot;&quot;₩&quot;\);_(&quot;$&quot;* &quot;-&quot;_);_(@_)"/>
    <numFmt numFmtId="178" formatCode="_(&quot;$&quot;* #,##0.00_);_(&quot;$&quot;* &quot;₩&quot;&quot;₩&quot;&quot;₩&quot;&quot;₩&quot;\(#,##0.00&quot;₩&quot;&quot;₩&quot;&quot;₩&quot;&quot;₩&quot;\);_(&quot;$&quot;* &quot;-&quot;??_);_(@_)"/>
    <numFmt numFmtId="179" formatCode="_(* #,##0.00_);_(* &quot;₩&quot;&quot;₩&quot;&quot;₩&quot;&quot;₩&quot;\(#,##0.00&quot;₩&quot;&quot;₩&quot;&quot;₩&quot;&quot;₩&quot;\);_(* &quot;-&quot;??_);_(@_)"/>
    <numFmt numFmtId="180" formatCode="#,##0.0"/>
    <numFmt numFmtId="181" formatCode="#,##0_);[Red]\(#,##0\)"/>
    <numFmt numFmtId="182" formatCode="#,##0.00_);[Red]\(#,##0.00\)"/>
    <numFmt numFmtId="183" formatCode="#,##0.0_);[Red]\(#,##0.0\)"/>
    <numFmt numFmtId="184" formatCode="#,##0.0000_);[Red]\(#,##0.0000\)"/>
    <numFmt numFmtId="185" formatCode="mm&quot;월&quot;\ dd&quot;일&quot;"/>
  </numFmts>
  <fonts count="14" x14ac:knownFonts="1">
    <font>
      <sz val="11"/>
      <color rgb="FF000000"/>
      <name val="돋움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7"/>
      <color rgb="FF000000"/>
      <name val="한컴바탕"/>
      <family val="3"/>
      <charset val="129"/>
    </font>
    <font>
      <sz val="12"/>
      <color rgb="FF000000"/>
      <name val="한컴바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u/>
      <sz val="2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돋움"/>
      <family val="3"/>
      <charset val="129"/>
    </font>
    <font>
      <sz val="12"/>
      <name val="맑은 고딕"/>
      <family val="3"/>
      <charset val="129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theme="1"/>
      </bottom>
      <diagonal/>
    </border>
    <border>
      <left style="dotted">
        <color indexed="64"/>
      </left>
      <right/>
      <top style="thin">
        <color indexed="64"/>
      </top>
      <bottom style="dotted">
        <color theme="1"/>
      </bottom>
      <diagonal/>
    </border>
    <border>
      <left style="dotted">
        <color indexed="64"/>
      </left>
      <right style="dotted">
        <color indexed="64"/>
      </right>
      <top style="dotted">
        <color theme="1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76" fontId="1" fillId="0" borderId="0"/>
    <xf numFmtId="179" fontId="1" fillId="0" borderId="0"/>
    <xf numFmtId="177" fontId="1" fillId="0" borderId="0"/>
    <xf numFmtId="178" fontId="1" fillId="0" borderId="0"/>
    <xf numFmtId="0" fontId="2" fillId="0" borderId="1">
      <alignment horizontal="left" vertical="center"/>
    </xf>
    <xf numFmtId="0" fontId="2" fillId="0" borderId="2">
      <alignment horizontal="left" vertical="center"/>
    </xf>
    <xf numFmtId="37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1" fontId="5" fillId="0" borderId="0"/>
    <xf numFmtId="41" fontId="1" fillId="0" borderId="0"/>
    <xf numFmtId="43" fontId="1" fillId="0" borderId="0"/>
  </cellStyleXfs>
  <cellXfs count="70">
    <xf numFmtId="0" fontId="0" fillId="0" borderId="0" xfId="0"/>
    <xf numFmtId="0" fontId="8" fillId="0" borderId="0" xfId="0" applyFont="1"/>
    <xf numFmtId="182" fontId="8" fillId="0" borderId="0" xfId="0" applyNumberFormat="1" applyFont="1"/>
    <xf numFmtId="41" fontId="7" fillId="0" borderId="0" xfId="17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2" fontId="8" fillId="0" borderId="0" xfId="17" applyNumberFormat="1" applyFont="1" applyAlignment="1">
      <alignment horizontal="center" vertical="center"/>
    </xf>
    <xf numFmtId="180" fontId="8" fillId="0" borderId="0" xfId="17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0" fontId="9" fillId="0" borderId="5" xfId="17" applyNumberFormat="1" applyFont="1" applyBorder="1" applyAlignment="1">
      <alignment horizontal="center" vertical="center"/>
    </xf>
    <xf numFmtId="41" fontId="9" fillId="0" borderId="4" xfId="17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82" fontId="9" fillId="0" borderId="4" xfId="17" applyNumberFormat="1" applyFont="1" applyBorder="1" applyAlignment="1">
      <alignment horizontal="right" vertical="center"/>
    </xf>
    <xf numFmtId="183" fontId="9" fillId="0" borderId="4" xfId="17" applyNumberFormat="1" applyFont="1" applyBorder="1" applyAlignment="1">
      <alignment horizontal="right" vertical="center"/>
    </xf>
    <xf numFmtId="181" fontId="9" fillId="0" borderId="4" xfId="17" applyNumberFormat="1" applyFont="1" applyBorder="1" applyAlignment="1">
      <alignment horizontal="right" vertical="center"/>
    </xf>
    <xf numFmtId="41" fontId="9" fillId="0" borderId="4" xfId="17" applyFont="1" applyBorder="1" applyAlignment="1">
      <alignment horizontal="right" vertical="center"/>
    </xf>
    <xf numFmtId="4" fontId="9" fillId="0" borderId="4" xfId="17" applyNumberFormat="1" applyFont="1" applyBorder="1" applyAlignment="1">
      <alignment horizontal="right" vertical="center"/>
    </xf>
    <xf numFmtId="184" fontId="9" fillId="0" borderId="4" xfId="17" applyNumberFormat="1" applyFont="1" applyBorder="1" applyAlignment="1">
      <alignment horizontal="right" vertical="center"/>
    </xf>
    <xf numFmtId="185" fontId="9" fillId="0" borderId="4" xfId="0" quotePrefix="1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1" fontId="10" fillId="2" borderId="10" xfId="17" applyFont="1" applyFill="1" applyBorder="1" applyAlignment="1">
      <alignment horizontal="center" vertical="center"/>
    </xf>
    <xf numFmtId="182" fontId="10" fillId="2" borderId="11" xfId="17" applyNumberFormat="1" applyFont="1" applyFill="1" applyBorder="1" applyAlignment="1">
      <alignment horizontal="center" vertical="center"/>
    </xf>
    <xf numFmtId="180" fontId="10" fillId="2" borderId="11" xfId="17" applyNumberFormat="1" applyFont="1" applyFill="1" applyBorder="1" applyAlignment="1">
      <alignment horizontal="center" vertical="center"/>
    </xf>
    <xf numFmtId="41" fontId="10" fillId="2" borderId="11" xfId="17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4" xfId="17" applyNumberFormat="1" applyFont="1" applyBorder="1" applyAlignment="1">
      <alignment horizontal="right" vertical="center"/>
    </xf>
    <xf numFmtId="2" fontId="9" fillId="0" borderId="5" xfId="17" applyNumberFormat="1" applyFont="1" applyBorder="1" applyAlignment="1">
      <alignment horizontal="center" vertical="center"/>
    </xf>
    <xf numFmtId="2" fontId="9" fillId="0" borderId="5" xfId="17" applyNumberFormat="1" applyFont="1" applyBorder="1" applyAlignment="1">
      <alignment horizontal="left" vertical="center"/>
    </xf>
    <xf numFmtId="2" fontId="11" fillId="0" borderId="0" xfId="0" applyNumberFormat="1" applyFont="1"/>
    <xf numFmtId="2" fontId="9" fillId="0" borderId="4" xfId="0" quotePrefix="1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2" fontId="12" fillId="0" borderId="4" xfId="17" applyNumberFormat="1" applyFont="1" applyBorder="1" applyAlignment="1">
      <alignment horizontal="right" vertical="center"/>
    </xf>
    <xf numFmtId="0" fontId="12" fillId="0" borderId="4" xfId="0" applyFont="1" applyBorder="1"/>
    <xf numFmtId="183" fontId="12" fillId="0" borderId="4" xfId="17" applyNumberFormat="1" applyFont="1" applyBorder="1" applyAlignment="1">
      <alignment horizontal="center" vertical="center"/>
    </xf>
    <xf numFmtId="184" fontId="12" fillId="0" borderId="4" xfId="17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84" fontId="12" fillId="0" borderId="4" xfId="17" applyNumberFormat="1" applyFont="1" applyBorder="1" applyAlignment="1">
      <alignment horizontal="right" vertical="center"/>
    </xf>
    <xf numFmtId="4" fontId="12" fillId="0" borderId="4" xfId="17" applyNumberFormat="1" applyFont="1" applyBorder="1" applyAlignment="1">
      <alignment horizontal="right" vertical="center"/>
    </xf>
    <xf numFmtId="0" fontId="13" fillId="0" borderId="0" xfId="0" applyFont="1"/>
    <xf numFmtId="49" fontId="9" fillId="0" borderId="12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2" fillId="0" borderId="13" xfId="0" applyFont="1" applyBorder="1"/>
    <xf numFmtId="183" fontId="12" fillId="0" borderId="13" xfId="17" applyNumberFormat="1" applyFont="1" applyBorder="1" applyAlignment="1">
      <alignment horizontal="center" vertical="center"/>
    </xf>
    <xf numFmtId="184" fontId="12" fillId="0" borderId="13" xfId="17" applyNumberFormat="1" applyFont="1" applyBorder="1" applyAlignment="1">
      <alignment horizontal="center" vertical="center"/>
    </xf>
    <xf numFmtId="41" fontId="9" fillId="0" borderId="13" xfId="17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9" fontId="9" fillId="0" borderId="13" xfId="0" quotePrefix="1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13" xfId="17" applyNumberFormat="1" applyFont="1" applyBorder="1" applyAlignment="1">
      <alignment horizontal="right" vertical="center"/>
    </xf>
    <xf numFmtId="0" fontId="9" fillId="0" borderId="14" xfId="17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2" fontId="11" fillId="0" borderId="15" xfId="0" applyNumberFormat="1" applyFont="1" applyBorder="1"/>
    <xf numFmtId="2" fontId="9" fillId="0" borderId="14" xfId="17" applyNumberFormat="1" applyFont="1" applyBorder="1" applyAlignment="1">
      <alignment horizontal="center" vertical="center"/>
    </xf>
    <xf numFmtId="41" fontId="7" fillId="0" borderId="0" xfId="17" applyFont="1" applyAlignment="1">
      <alignment horizontal="center" vertical="center"/>
    </xf>
    <xf numFmtId="0" fontId="8" fillId="0" borderId="0" xfId="0" applyFont="1"/>
    <xf numFmtId="41" fontId="8" fillId="0" borderId="0" xfId="17" applyFont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41" fontId="10" fillId="2" borderId="9" xfId="17" applyFont="1" applyFill="1" applyBorder="1" applyAlignment="1">
      <alignment horizontal="center" vertical="center"/>
    </xf>
    <xf numFmtId="41" fontId="10" fillId="2" borderId="8" xfId="17" applyFont="1" applyFill="1" applyBorder="1" applyAlignment="1">
      <alignment horizontal="center" vertical="center"/>
    </xf>
    <xf numFmtId="41" fontId="10" fillId="2" borderId="5" xfId="17" applyFont="1" applyFill="1" applyBorder="1" applyAlignment="1">
      <alignment horizontal="center" vertical="center"/>
    </xf>
  </cellXfs>
  <cellStyles count="20">
    <cellStyle name="Comma [0]_ 내역 (2)" xfId="1" xr:uid="{00000000-0005-0000-0000-000000000000}"/>
    <cellStyle name="Comma_ 내역 (2)" xfId="2" xr:uid="{00000000-0005-0000-0000-000001000000}"/>
    <cellStyle name="Currency [0]_ 내역 (2)" xfId="3" xr:uid="{00000000-0005-0000-0000-000002000000}"/>
    <cellStyle name="Currency_ 내역 (2)" xfId="4" xr:uid="{00000000-0005-0000-0000-000003000000}"/>
    <cellStyle name="Header1" xfId="5" xr:uid="{00000000-0005-0000-0000-000004000000}"/>
    <cellStyle name="Header2" xfId="6" xr:uid="{00000000-0005-0000-0000-000005000000}"/>
    <cellStyle name="no dec" xfId="7" xr:uid="{00000000-0005-0000-0000-000006000000}"/>
    <cellStyle name="Normal - Style1" xfId="8" xr:uid="{00000000-0005-0000-0000-000007000000}"/>
    <cellStyle name="Normal - Style2" xfId="9" xr:uid="{00000000-0005-0000-0000-000008000000}"/>
    <cellStyle name="Normal - Style3" xfId="10" xr:uid="{00000000-0005-0000-0000-000009000000}"/>
    <cellStyle name="Normal - Style4" xfId="11" xr:uid="{00000000-0005-0000-0000-00000A000000}"/>
    <cellStyle name="Normal - Style5" xfId="12" xr:uid="{00000000-0005-0000-0000-00000B000000}"/>
    <cellStyle name="Normal - Style6" xfId="13" xr:uid="{00000000-0005-0000-0000-00000C000000}"/>
    <cellStyle name="Normal - Style7" xfId="14" xr:uid="{00000000-0005-0000-0000-00000D000000}"/>
    <cellStyle name="Normal - Style8" xfId="15" xr:uid="{00000000-0005-0000-0000-00000E000000}"/>
    <cellStyle name="Normal_ 내역 (2)" xfId="16" xr:uid="{00000000-0005-0000-0000-00000F000000}"/>
    <cellStyle name="쉼표 [0]" xfId="17" builtinId="6"/>
    <cellStyle name="콤마 [0]_ 내역 (2)" xfId="18" xr:uid="{00000000-0005-0000-0000-000011000000}"/>
    <cellStyle name="콤마_ 내역 (2)" xfId="19" xr:uid="{00000000-0005-0000-0000-00001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  <a:effectLst/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  <a:effectLst/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239C-1957-40E2-B839-11E0ADEC2147}">
  <sheetPr>
    <pageSetUpPr fitToPage="1"/>
  </sheetPr>
  <dimension ref="B1:J74"/>
  <sheetViews>
    <sheetView showGridLines="0" tabSelected="1" view="pageBreakPreview" topLeftCell="A51" zoomScale="85" zoomScaleNormal="70" zoomScaleSheetLayoutView="85" zoomScalePageLayoutView="55" workbookViewId="0">
      <selection activeCell="F68" sqref="F68"/>
    </sheetView>
  </sheetViews>
  <sheetFormatPr defaultRowHeight="14" x14ac:dyDescent="0.25"/>
  <cols>
    <col min="1" max="1" width="3.5" customWidth="1"/>
    <col min="2" max="2" width="8.6640625" customWidth="1"/>
    <col min="3" max="3" width="11.25" customWidth="1"/>
    <col min="4" max="4" width="10.5" bestFit="1" customWidth="1"/>
    <col min="5" max="5" width="10.75" bestFit="1" customWidth="1"/>
    <col min="6" max="6" width="19" bestFit="1" customWidth="1"/>
    <col min="7" max="7" width="17.08203125" bestFit="1" customWidth="1"/>
    <col min="8" max="8" width="13.33203125" customWidth="1"/>
    <col min="9" max="9" width="19" customWidth="1"/>
    <col min="10" max="10" width="11.1640625" bestFit="1" customWidth="1"/>
    <col min="11" max="11" width="6.5" customWidth="1"/>
  </cols>
  <sheetData>
    <row r="1" spans="2:10" ht="36" x14ac:dyDescent="0.45">
      <c r="B1" s="57" t="s">
        <v>19</v>
      </c>
      <c r="C1" s="58"/>
      <c r="D1" s="58"/>
      <c r="E1" s="58"/>
      <c r="F1" s="58"/>
      <c r="G1" s="58"/>
      <c r="H1" s="58"/>
      <c r="I1" s="58"/>
      <c r="J1" s="58"/>
    </row>
    <row r="2" spans="2:10" ht="18" customHeight="1" x14ac:dyDescent="0.45">
      <c r="B2" s="3"/>
      <c r="C2" s="1"/>
      <c r="D2" s="1"/>
      <c r="E2" s="1"/>
      <c r="F2" s="1"/>
      <c r="G2" s="2"/>
      <c r="H2" s="1"/>
      <c r="I2" s="1"/>
      <c r="J2" s="1"/>
    </row>
    <row r="3" spans="2:10" ht="17" x14ac:dyDescent="0.25">
      <c r="B3" s="4"/>
      <c r="C3" s="5"/>
      <c r="D3" s="4"/>
      <c r="E3" s="5"/>
      <c r="F3" s="5"/>
      <c r="G3" s="6"/>
      <c r="H3" s="7"/>
      <c r="I3" s="59"/>
      <c r="J3" s="59"/>
    </row>
    <row r="4" spans="2:10" ht="24.5" customHeight="1" x14ac:dyDescent="0.25">
      <c r="B4" s="60" t="s">
        <v>0</v>
      </c>
      <c r="C4" s="62" t="s">
        <v>8</v>
      </c>
      <c r="D4" s="64" t="s">
        <v>5</v>
      </c>
      <c r="E4" s="62" t="s">
        <v>1</v>
      </c>
      <c r="F4" s="62" t="s">
        <v>3</v>
      </c>
      <c r="G4" s="67" t="s">
        <v>13</v>
      </c>
      <c r="H4" s="67"/>
      <c r="I4" s="23" t="s">
        <v>2</v>
      </c>
      <c r="J4" s="68" t="s">
        <v>7</v>
      </c>
    </row>
    <row r="5" spans="2:10" ht="29" customHeight="1" x14ac:dyDescent="0.25">
      <c r="B5" s="61"/>
      <c r="C5" s="63"/>
      <c r="D5" s="65"/>
      <c r="E5" s="63"/>
      <c r="F5" s="66"/>
      <c r="G5" s="24" t="s">
        <v>4</v>
      </c>
      <c r="H5" s="25" t="s">
        <v>6</v>
      </c>
      <c r="I5" s="26" t="s">
        <v>15</v>
      </c>
      <c r="J5" s="69"/>
    </row>
    <row r="6" spans="2:10" ht="17.5" x14ac:dyDescent="0.25">
      <c r="B6" s="8"/>
      <c r="C6" s="9"/>
      <c r="D6" s="10"/>
      <c r="E6" s="10"/>
      <c r="F6" s="10"/>
      <c r="G6" s="10"/>
      <c r="H6" s="10"/>
      <c r="I6" s="10"/>
      <c r="J6" s="11"/>
    </row>
    <row r="7" spans="2:10" ht="17.5" x14ac:dyDescent="0.25">
      <c r="B7" s="8"/>
      <c r="C7" s="9" t="s">
        <v>21</v>
      </c>
      <c r="D7" s="10" t="s">
        <v>30</v>
      </c>
      <c r="E7" s="10" t="s">
        <v>35</v>
      </c>
      <c r="F7" s="9" t="s">
        <v>39</v>
      </c>
      <c r="G7" s="17"/>
      <c r="H7" s="17"/>
      <c r="I7" s="18"/>
      <c r="J7" s="11"/>
    </row>
    <row r="8" spans="2:10" ht="17.5" x14ac:dyDescent="0.25">
      <c r="B8" s="8" t="s">
        <v>14</v>
      </c>
      <c r="C8" s="9" t="s">
        <v>24</v>
      </c>
      <c r="D8" s="10" t="s">
        <v>27</v>
      </c>
      <c r="E8" s="10" t="s">
        <v>36</v>
      </c>
      <c r="F8" s="9" t="s">
        <v>40</v>
      </c>
      <c r="G8" s="15"/>
      <c r="H8" s="19"/>
      <c r="I8" s="18"/>
      <c r="J8" s="11"/>
    </row>
    <row r="9" spans="2:10" ht="17.5" x14ac:dyDescent="0.25">
      <c r="B9" s="8" t="s">
        <v>14</v>
      </c>
      <c r="C9" s="9" t="s">
        <v>32</v>
      </c>
      <c r="D9" s="10" t="s">
        <v>33</v>
      </c>
      <c r="E9" s="9" t="s">
        <v>37</v>
      </c>
      <c r="F9" s="9" t="s">
        <v>41</v>
      </c>
      <c r="G9" s="20" t="s">
        <v>14</v>
      </c>
      <c r="H9" s="19" t="s">
        <v>14</v>
      </c>
      <c r="I9" s="18" t="s">
        <v>14</v>
      </c>
      <c r="J9" s="11"/>
    </row>
    <row r="10" spans="2:10" ht="17.5" x14ac:dyDescent="0.25">
      <c r="B10" s="8"/>
      <c r="C10" s="9"/>
      <c r="D10" s="10"/>
      <c r="E10" s="9" t="s">
        <v>38</v>
      </c>
      <c r="F10" s="9"/>
      <c r="G10" s="20"/>
      <c r="H10" s="19"/>
      <c r="I10" s="18"/>
      <c r="J10" s="11"/>
    </row>
    <row r="11" spans="2:10" ht="17.5" x14ac:dyDescent="0.25">
      <c r="B11" s="8"/>
      <c r="C11" s="9"/>
      <c r="D11" s="10"/>
      <c r="E11" s="9"/>
      <c r="F11" s="9"/>
      <c r="G11" s="20"/>
      <c r="H11" s="19"/>
      <c r="I11" s="18"/>
      <c r="J11" s="11"/>
    </row>
    <row r="12" spans="2:10" ht="17.5" x14ac:dyDescent="0.25">
      <c r="B12" s="8"/>
      <c r="C12" s="9"/>
      <c r="D12" s="10"/>
      <c r="E12" s="9"/>
      <c r="F12" s="9" t="s">
        <v>11</v>
      </c>
      <c r="G12" s="20">
        <v>863.8</v>
      </c>
      <c r="H12" s="19"/>
      <c r="I12" s="18"/>
      <c r="J12" s="11"/>
    </row>
    <row r="13" spans="2:10" ht="17.5" x14ac:dyDescent="0.25">
      <c r="B13" s="8"/>
      <c r="C13" s="9" t="s">
        <v>21</v>
      </c>
      <c r="D13" s="10" t="s">
        <v>26</v>
      </c>
      <c r="E13" s="9"/>
      <c r="F13" s="10" t="s">
        <v>42</v>
      </c>
      <c r="G13" s="20">
        <v>792.07</v>
      </c>
      <c r="H13" s="19"/>
      <c r="I13" s="18"/>
      <c r="J13" s="11"/>
    </row>
    <row r="14" spans="2:10" ht="17.5" x14ac:dyDescent="0.25">
      <c r="B14" s="8"/>
      <c r="C14" s="9" t="s">
        <v>24</v>
      </c>
      <c r="D14" s="10" t="s">
        <v>34</v>
      </c>
      <c r="E14" s="9"/>
      <c r="F14" s="10" t="s">
        <v>41</v>
      </c>
      <c r="G14" s="20">
        <v>1043.9000000000001</v>
      </c>
      <c r="H14" s="19"/>
      <c r="I14" s="18"/>
      <c r="J14" s="11"/>
    </row>
    <row r="15" spans="2:10" ht="17.5" x14ac:dyDescent="0.25">
      <c r="B15" s="8"/>
      <c r="C15" s="9" t="s">
        <v>25</v>
      </c>
      <c r="D15" s="10"/>
      <c r="E15" s="9"/>
      <c r="F15" s="10"/>
      <c r="G15" s="20"/>
      <c r="H15" s="19"/>
      <c r="I15" s="18"/>
      <c r="J15" s="11"/>
    </row>
    <row r="16" spans="2:10" ht="17.5" x14ac:dyDescent="0.25">
      <c r="B16" s="8"/>
      <c r="C16" s="9"/>
      <c r="D16" s="10"/>
      <c r="E16" s="9"/>
      <c r="F16" s="10"/>
      <c r="G16" s="20"/>
      <c r="H16" s="19"/>
      <c r="I16" s="18"/>
      <c r="J16" s="11"/>
    </row>
    <row r="17" spans="2:10" ht="17.5" x14ac:dyDescent="0.25">
      <c r="B17" s="8"/>
      <c r="C17" s="9" t="s">
        <v>20</v>
      </c>
      <c r="D17" s="10"/>
      <c r="E17" s="9"/>
      <c r="F17" s="10"/>
      <c r="G17" s="20"/>
      <c r="H17" s="19"/>
      <c r="I17" s="18"/>
      <c r="J17" s="11"/>
    </row>
    <row r="18" spans="2:10" ht="17.5" x14ac:dyDescent="0.25">
      <c r="B18" s="8"/>
      <c r="C18" s="9" t="s">
        <v>21</v>
      </c>
      <c r="D18" s="9"/>
      <c r="E18" s="9"/>
      <c r="F18" s="9"/>
      <c r="G18" s="15"/>
      <c r="H18" s="20"/>
      <c r="I18" s="18"/>
      <c r="J18" s="11"/>
    </row>
    <row r="19" spans="2:10" ht="17.5" x14ac:dyDescent="0.25">
      <c r="B19" s="8"/>
      <c r="C19" s="9" t="s">
        <v>24</v>
      </c>
      <c r="D19" s="9"/>
      <c r="E19" s="9"/>
      <c r="F19" s="9"/>
      <c r="G19" s="15"/>
      <c r="H19" s="20"/>
      <c r="I19" s="18"/>
      <c r="J19" s="11"/>
    </row>
    <row r="20" spans="2:10" ht="17.5" x14ac:dyDescent="0.25">
      <c r="B20" s="8"/>
      <c r="C20" s="9" t="s">
        <v>43</v>
      </c>
      <c r="D20" s="9"/>
      <c r="E20" s="9"/>
      <c r="F20" s="9"/>
      <c r="G20" s="15"/>
      <c r="H20" s="20"/>
      <c r="I20" s="18"/>
      <c r="J20" s="11"/>
    </row>
    <row r="21" spans="2:10" ht="17.5" x14ac:dyDescent="0.25">
      <c r="B21" s="8"/>
      <c r="C21" s="9">
        <v>197</v>
      </c>
      <c r="D21" s="9"/>
      <c r="E21" s="9"/>
      <c r="F21" s="9"/>
      <c r="G21" s="15"/>
      <c r="H21" s="20"/>
      <c r="I21" s="18"/>
      <c r="J21" s="11"/>
    </row>
    <row r="22" spans="2:10" ht="17.5" x14ac:dyDescent="0.25">
      <c r="B22" s="8"/>
      <c r="C22" s="9" t="s">
        <v>44</v>
      </c>
      <c r="D22" s="9"/>
      <c r="E22" s="9"/>
      <c r="F22" s="9"/>
      <c r="G22" s="15"/>
      <c r="H22" s="20"/>
      <c r="I22" s="18"/>
      <c r="J22" s="11"/>
    </row>
    <row r="23" spans="2:10" ht="17.5" x14ac:dyDescent="0.25">
      <c r="B23" s="8"/>
      <c r="C23" s="21"/>
      <c r="D23" s="9"/>
      <c r="E23" s="9"/>
      <c r="F23" s="9"/>
      <c r="G23" s="15"/>
      <c r="H23" s="20"/>
      <c r="I23" s="18"/>
      <c r="J23" s="11"/>
    </row>
    <row r="24" spans="2:10" ht="17.5" x14ac:dyDescent="0.25">
      <c r="B24" s="8"/>
      <c r="C24" s="21"/>
      <c r="D24" s="9"/>
      <c r="E24" s="9"/>
      <c r="F24" s="9"/>
      <c r="G24" s="15"/>
      <c r="H24" s="20"/>
      <c r="I24" s="18"/>
      <c r="J24" s="11"/>
    </row>
    <row r="25" spans="2:10" ht="17.5" x14ac:dyDescent="0.25">
      <c r="B25" s="8"/>
      <c r="C25" s="9"/>
      <c r="D25" s="9"/>
      <c r="E25" s="9"/>
      <c r="F25" s="9"/>
      <c r="G25" s="16"/>
      <c r="H25" s="20"/>
      <c r="I25" s="18"/>
      <c r="J25" s="11"/>
    </row>
    <row r="26" spans="2:10" ht="17.5" x14ac:dyDescent="0.25">
      <c r="B26" s="14">
        <v>1</v>
      </c>
      <c r="C26" s="9" t="inlineStr">
        <is>
          <t xml:space="preserve">서울특별시</t>
        </is>
      </c>
      <c r="D26" s="22" t="inlineStr">
        <is>
          <t xml:space="preserve">100-1</t>
        </is>
      </c>
      <c r="E26" s="9" t="inlineStr">
        <is>
          <t xml:space="preserve">대</t>
        </is>
      </c>
      <c r="F26" s="9" t="inlineStr">
        <is>
          <t xml:space="preserve">제2종일반주거지역</t>
        </is>
      </c>
      <c r="G26" s="16">
        <v>5000</v>
      </c>
      <c r="H26" s="20"/>
      <c r="I26" s="18"/>
      <c r="J26" s="11"/>
    </row>
    <row r="27" spans="2:10" ht="17.5" x14ac:dyDescent="0.25">
      <c r="B27" s="14"/>
      <c r="C27" s="9" t="inlineStr">
        <is>
          <t xml:space="preserve">강서구</t>
        </is>
      </c>
      <c r="D27" s="22"/>
      <c r="E27" s="9"/>
      <c r="F27" s="9"/>
      <c r="G27" s="16"/>
      <c r="H27" s="20"/>
      <c r="I27" s="18"/>
      <c r="J27" s="11"/>
    </row>
    <row r="28" spans="2:10" ht="17.5" x14ac:dyDescent="0.25">
      <c r="B28" s="14"/>
      <c r="C28" s="9" t="inlineStr">
        <is>
          <t xml:space="preserve">화곡동</t>
        </is>
      </c>
      <c r="D28" s="22"/>
      <c r="E28" s="9" t="inlineStr">
        <is>
          <t xml:space="preserve">대</t>
        </is>
      </c>
      <c r="F28" s="9"/>
      <c r="G28" s="16"/>
      <c r="H28" s="20"/>
      <c r="I28" s="18"/>
      <c r="J28" s="11"/>
    </row>
    <row r="29" spans="2:10" ht="17.5" x14ac:dyDescent="0.25">
      <c r="B29" s="14"/>
      <c r="C29" s="9"/>
      <c r="D29" s="22"/>
      <c r="E29" s="9"/>
      <c r="F29" s="9"/>
      <c r="G29" s="16"/>
      <c r="H29" s="20"/>
      <c r="I29" s="18"/>
      <c r="J29" s="11"/>
    </row>
    <row r="30" spans="2:10" ht="17.5" x14ac:dyDescent="0.25">
      <c r="B30" s="14">
        <v>2</v>
      </c>
      <c r="C30" s="9" t="inlineStr">
        <is>
          <t xml:space="preserve">서울특별시</t>
        </is>
      </c>
      <c r="D30" s="22" t="inlineStr">
        <is>
          <t xml:space="preserve">100-2</t>
        </is>
      </c>
      <c r="E30" s="9" t="inlineStr">
        <is>
          <t xml:space="preserve">대</t>
        </is>
      </c>
      <c r="F30" s="9" t="inlineStr">
        <is>
          <t xml:space="preserve">제2종일반주거지역</t>
        </is>
      </c>
      <c r="G30" s="16">
        <v>3000</v>
      </c>
      <c r="H30" s="20"/>
      <c r="I30" s="18"/>
      <c r="J30" s="11"/>
    </row>
    <row r="31" spans="2:10" ht="17.5" x14ac:dyDescent="0.25">
      <c r="B31" s="14"/>
      <c r="C31" s="9" t="inlineStr">
        <is>
          <t xml:space="preserve">강서구</t>
        </is>
      </c>
      <c r="D31" s="22"/>
      <c r="E31" s="9"/>
      <c r="F31" s="9"/>
      <c r="G31" s="16"/>
      <c r="H31" s="20"/>
      <c r="I31" s="18"/>
      <c r="J31" s="11"/>
    </row>
    <row r="32" spans="2:10" ht="17.5" x14ac:dyDescent="0.25">
      <c r="B32" s="14"/>
      <c r="C32" s="9" t="inlineStr">
        <is>
          <t xml:space="preserve">화곡동</t>
        </is>
      </c>
      <c r="D32" s="22"/>
      <c r="E32" s="9" t="inlineStr">
        <is>
          <t xml:space="preserve">대</t>
        </is>
      </c>
      <c r="F32" s="9"/>
      <c r="G32" s="16"/>
      <c r="H32" s="20"/>
      <c r="I32" s="18"/>
      <c r="J32" s="11"/>
    </row>
    <row r="33" spans="2:10" ht="17.5" x14ac:dyDescent="0.25">
      <c r="B33" s="14"/>
      <c r="C33" s="9"/>
      <c r="D33" s="22"/>
      <c r="E33" s="9"/>
      <c r="F33" s="9"/>
      <c r="G33" s="16"/>
      <c r="H33" s="20"/>
      <c r="I33" s="18"/>
      <c r="J33" s="11"/>
    </row>
    <row r="34" spans="2:10" ht="17.5" x14ac:dyDescent="0.25">
      <c r="B34" s="14"/>
      <c r="C34" s="9"/>
      <c r="D34" s="22"/>
      <c r="E34" s="9"/>
      <c r="F34" s="9"/>
      <c r="G34" s="16"/>
      <c r="H34" s="20"/>
      <c r="I34" s="18"/>
      <c r="J34" s="11"/>
    </row>
    <row r="35" spans="2:10" ht="17.5" x14ac:dyDescent="0.25">
      <c r="B35" s="8"/>
      <c r="C35" s="9"/>
      <c r="D35" s="9"/>
      <c r="E35" s="28"/>
      <c r="G35" s="29"/>
      <c r="H35" s="29"/>
      <c r="I35" s="29"/>
      <c r="J35" s="30"/>
      <c r="F35" s="28" t="inlineStr">
        <is>
          <t xml:space="preserve">(내)</t>
        </is>
      </c>
    </row>
    <row r="36" spans="2:10" ht="17.5" x14ac:dyDescent="0.25">
      <c r="B36" s="8" t="inlineStr">
        <is>
          <t xml:space="preserve">가</t>
        </is>
      </c>
      <c r="C36" s="9"/>
      <c r="D36" s="9"/>
      <c r="E36" s="28"/>
      <c r="F36" s="28" t="inlineStr">
        <is>
          <t xml:space="preserve">철근콘크리트조</t>
        </is>
      </c>
      <c r="G36" s="29"/>
      <c r="H36" s="29"/>
      <c r="I36" s="29"/>
      <c r="J36" s="30"/>
    </row>
    <row r="37" spans="2:10" ht="17.5" x14ac:dyDescent="0.25">
      <c r="B37" s="8"/>
      <c r="C37" s="9"/>
      <c r="D37" s="9"/>
      <c r="E37" s="28"/>
      <c r="F37" s="28" t="inlineStr">
        <is>
          <t xml:space="preserve">제1층 제101호</t>
        </is>
      </c>
      <c r="G37" s="29">
        <v>59.5</v>
      </c>
      <c r="H37" s="29">
        <f>+G37</f>
        <v>59.5</v>
      </c>
      <c r="I37" s="29">
        <v>300000000</v>
      </c>
      <c r="J37" s="31" t="inlineStr">
        <is>
          <t xml:space="preserve">비준가액</t>
        </is>
      </c>
    </row>
    <row r="38" spans="2:10" ht="17.5" x14ac:dyDescent="0.25">
      <c r="B38" s="8"/>
      <c r="C38" s="9"/>
      <c r="D38" s="9"/>
      <c r="E38" s="28"/>
      <c r="F38" s="28"/>
      <c r="G38" s="29"/>
      <c r="H38" s="29"/>
      <c r="I38" s="29"/>
      <c r="J38" s="31" t="inlineStr">
        <is>
          <t xml:space="preserve">공용면적</t>
        </is>
      </c>
    </row>
    <row r="39" spans="2:10" ht="17.5" x14ac:dyDescent="0.25">
      <c r="B39" s="8"/>
      <c r="C39" s="9"/>
      <c r="D39" s="9"/>
      <c r="E39" s="28"/>
      <c r="F39" s="28" t="inlineStr">
        <is>
          <t xml:space="preserve">1. 소유권 대지권</t>
        </is>
      </c>
      <c r="G39" s="29">
        <v>20.1</v>
      </c>
      <c r="H39" s="29"/>
      <c r="I39" s="29"/>
      <c r="J39" s="31" t="inlineStr">
        <is>
          <t xml:space="preserve">포함</t>
        </is>
      </c>
    </row>
    <row r="40" spans="2:10" ht="17.5" x14ac:dyDescent="0.25">
      <c r="B40" s="8"/>
      <c r="C40" s="9"/>
      <c r="D40" s="9"/>
      <c r="E40" s="28"/>
      <c r="F40" s="28"/>
      <c r="G40" s="29" t="str">
        <f>+$G$26&amp;" ×----"</f>
        <v>5000 ×----</v>
      </c>
      <c r="H40" s="29"/>
      <c r="I40" s="29"/>
      <c r="J40" s="30"/>
    </row>
    <row r="41" spans="2:10" ht="17.5" x14ac:dyDescent="0.25">
      <c r="B41" s="8"/>
      <c r="C41" s="9"/>
      <c r="D41" s="9"/>
      <c r="E41" s="28"/>
      <c r="F41" s="28"/>
      <c r="G41" s="29">
        <v>5000</v>
      </c>
      <c r="H41" s="29"/>
      <c r="I41" s="29"/>
      <c r="J41" s="30"/>
    </row>
    <row r="42" spans="2:10" ht="17.5" x14ac:dyDescent="0.25">
      <c r="B42" s="8"/>
      <c r="C42" s="9"/>
      <c r="D42" s="9"/>
      <c r="E42" s="28"/>
      <c r="F42" s="28"/>
      <c r="G42" s="29"/>
      <c r="H42" s="29"/>
      <c r="I42" s="29"/>
      <c r="J42" s="30"/>
    </row>
    <row r="43" spans="2:10" ht="17.5" x14ac:dyDescent="0.25">
      <c r="B43" s="8"/>
      <c r="C43" s="9"/>
      <c r="D43" s="9"/>
      <c r="E43" s="28"/>
      <c r="F43" s="28" t="inlineStr">
        <is>
          <t xml:space="preserve">2. 소유권 대지권</t>
        </is>
      </c>
      <c r="G43" s="29">
        <v>12.0</v>
      </c>
      <c r="H43" s="29"/>
      <c r="I43" s="29"/>
      <c r="J43" s="30"/>
    </row>
    <row r="44" spans="2:10" ht="17.5" x14ac:dyDescent="0.25">
      <c r="B44" s="8"/>
      <c r="C44" s="9"/>
      <c r="D44" s="9"/>
      <c r="E44" s="28"/>
      <c r="F44" s="28"/>
      <c r="G44" s="29" t="str">
        <f>+$G$30&amp;" ×----"</f>
        <v>3000 ×----</v>
      </c>
      <c r="H44" s="29"/>
      <c r="I44" s="29"/>
      <c r="J44" s="30"/>
    </row>
    <row r="45" spans="2:10" ht="17.5" x14ac:dyDescent="0.25">
      <c r="B45" s="8"/>
      <c r="C45" s="9"/>
      <c r="D45" s="9"/>
      <c r="E45" s="28"/>
      <c r="F45" s="28"/>
      <c r="G45" s="29">
        <v>3000</v>
      </c>
      <c r="H45" s="29"/>
      <c r="I45" s="29"/>
      <c r="J45" s="30"/>
    </row>
    <row r="46" spans="2:10" ht="17.5" x14ac:dyDescent="0.25">
      <c r="B46" s="8"/>
      <c r="C46" s="9"/>
      <c r="D46" s="9"/>
      <c r="E46" s="28"/>
      <c r="F46" s="28"/>
      <c r="G46" s="29"/>
      <c r="H46" s="29"/>
      <c r="I46" s="29"/>
      <c r="J46" s="30"/>
    </row>
    <row r="47" spans="2:10" ht="17.5" x14ac:dyDescent="0.25">
      <c r="B47" s="8"/>
      <c r="C47" s="9"/>
      <c r="D47" s="9"/>
      <c r="E47" s="28"/>
      <c r="F47" s="28"/>
      <c r="G47" s="29"/>
      <c r="H47" s="29"/>
      <c r="I47" s="29"/>
      <c r="J47" s="30"/>
    </row>
    <row r="48" spans="2:10" ht="17.5" x14ac:dyDescent="0.25">
      <c r="B48" s="8"/>
      <c r="C48" s="9"/>
      <c r="D48" s="9"/>
      <c r="E48" s="28"/>
      <c r="G48" s="29"/>
      <c r="H48" s="29"/>
      <c r="I48" s="29"/>
      <c r="J48" s="30"/>
      <c r="F48" s="28" t="inlineStr">
        <is>
          <t xml:space="preserve">(내)</t>
        </is>
      </c>
    </row>
    <row r="49" spans="2:10" ht="17.5" x14ac:dyDescent="0.25">
      <c r="B49" s="8" t="inlineStr">
        <is>
          <t xml:space="preserve">나</t>
        </is>
      </c>
      <c r="C49" s="9"/>
      <c r="D49" s="9"/>
      <c r="E49" s="28"/>
      <c r="F49" s="28" t="inlineStr">
        <is>
          <t xml:space="preserve">철근콘크리트조</t>
        </is>
      </c>
      <c r="G49" s="29"/>
      <c r="H49" s="29"/>
      <c r="I49" s="29"/>
      <c r="J49" s="30"/>
    </row>
    <row r="50" spans="2:10" ht="17.5" x14ac:dyDescent="0.25">
      <c r="B50" s="8"/>
      <c r="C50" s="9"/>
      <c r="D50" s="9"/>
      <c r="E50" s="28"/>
      <c r="F50" s="28" t="inlineStr">
        <is>
          <t xml:space="preserve">제2층 제201호</t>
        </is>
      </c>
      <c r="G50" s="29">
        <v>59.5</v>
      </c>
      <c r="H50" s="29">
        <f>+G50</f>
        <v>59.5</v>
      </c>
      <c r="I50" s="29">
        <v>310000000</v>
      </c>
      <c r="J50" s="31" t="inlineStr">
        <is>
          <t xml:space="preserve">비준가액</t>
        </is>
      </c>
    </row>
    <row r="51" spans="2:10" ht="17.5" x14ac:dyDescent="0.25">
      <c r="B51" s="8"/>
      <c r="C51" s="9"/>
      <c r="D51" s="9"/>
      <c r="E51" s="28"/>
      <c r="F51" s="28"/>
      <c r="G51" s="29"/>
      <c r="H51" s="29"/>
      <c r="I51" s="29"/>
      <c r="J51" s="31" t="inlineStr">
        <is>
          <t xml:space="preserve">공용면적</t>
        </is>
      </c>
    </row>
    <row r="52" spans="2:10" ht="17.5" x14ac:dyDescent="0.25">
      <c r="B52" s="8"/>
      <c r="C52" s="9"/>
      <c r="D52" s="9"/>
      <c r="E52" s="28"/>
      <c r="F52" s="28" t="inlineStr">
        <is>
          <t xml:space="preserve">1. 소유권 대지권</t>
        </is>
      </c>
      <c r="G52" s="29">
        <v>20.1</v>
      </c>
      <c r="H52" s="29"/>
      <c r="I52" s="29"/>
      <c r="J52" s="31" t="inlineStr">
        <is>
          <t xml:space="preserve">포함</t>
        </is>
      </c>
    </row>
    <row r="53" spans="2:10" ht="17.5" x14ac:dyDescent="0.25">
      <c r="B53" s="8"/>
      <c r="C53" s="9"/>
      <c r="D53" s="9"/>
      <c r="E53" s="28"/>
      <c r="F53" s="28"/>
      <c r="G53" s="29" t="str">
        <f>+$G$26&amp;" ×----"</f>
        <v>5000 ×----</v>
      </c>
      <c r="H53" s="29"/>
      <c r="I53" s="29"/>
      <c r="J53" s="30"/>
    </row>
    <row r="54" spans="2:10" ht="17.5" x14ac:dyDescent="0.25">
      <c r="B54" s="8"/>
      <c r="C54" s="9"/>
      <c r="D54" s="9"/>
      <c r="E54" s="28"/>
      <c r="F54" s="28"/>
      <c r="G54" s="29">
        <v>5000</v>
      </c>
      <c r="H54" s="29"/>
      <c r="I54" s="29"/>
      <c r="J54" s="30"/>
    </row>
    <row r="55" spans="2:10" ht="17.5" x14ac:dyDescent="0.25">
      <c r="B55" s="8"/>
      <c r="C55" s="9"/>
      <c r="D55" s="9"/>
      <c r="E55" s="28"/>
      <c r="F55" s="28"/>
      <c r="G55" s="29"/>
      <c r="H55" s="29"/>
      <c r="I55" s="29"/>
      <c r="J55" s="30"/>
    </row>
    <row r="56" spans="2:10" ht="17.5" x14ac:dyDescent="0.25">
      <c r="B56" s="8"/>
      <c r="C56" s="9"/>
      <c r="D56" s="9"/>
      <c r="E56" s="28"/>
      <c r="F56" s="28" t="inlineStr">
        <is>
          <t xml:space="preserve">2. 소유권 대지권</t>
        </is>
      </c>
      <c r="G56" s="29">
        <v>12.0</v>
      </c>
      <c r="H56" s="29"/>
      <c r="I56" s="29"/>
      <c r="J56" s="30"/>
    </row>
    <row r="57" spans="2:10" ht="17.5" x14ac:dyDescent="0.25">
      <c r="B57" s="8"/>
      <c r="C57" s="9"/>
      <c r="D57" s="9"/>
      <c r="E57" s="28"/>
      <c r="F57" s="28"/>
      <c r="G57" s="29" t="str">
        <f>+$G$30&amp;" ×----"</f>
        <v>3000 ×----</v>
      </c>
      <c r="H57" s="29"/>
      <c r="I57" s="29"/>
      <c r="J57" s="30"/>
    </row>
    <row r="58" spans="2:10" ht="17.5" x14ac:dyDescent="0.25">
      <c r="B58" s="8"/>
      <c r="C58" s="9"/>
      <c r="D58" s="9"/>
      <c r="E58" s="28"/>
      <c r="F58" s="28"/>
      <c r="G58" s="29">
        <v>3000</v>
      </c>
      <c r="H58" s="29"/>
      <c r="I58" s="29"/>
      <c r="J58" s="30"/>
    </row>
    <row r="59" spans="2:10" ht="17.5" x14ac:dyDescent="0.25">
      <c r="B59" s="8"/>
      <c r="C59" s="9"/>
      <c r="D59" s="9"/>
      <c r="E59" s="28"/>
      <c r="F59" s="28"/>
      <c r="G59" s="29"/>
      <c r="H59" s="29"/>
      <c r="I59" s="29"/>
      <c r="J59" s="30"/>
    </row>
    <row r="60" spans="2:10" ht="17.5" x14ac:dyDescent="0.25">
      <c r="B60" s="8"/>
      <c r="C60" s="9"/>
      <c r="D60" s="9"/>
      <c r="E60" s="28"/>
      <c r="F60" s="28"/>
      <c r="G60" s="29"/>
      <c r="H60" s="29"/>
      <c r="I60" s="29"/>
      <c r="J60" s="30"/>
    </row>
    <row r="61" spans="2:10" ht="17.5" x14ac:dyDescent="0.25">
      <c r="B61" s="8"/>
      <c r="C61" s="9"/>
      <c r="D61" s="9"/>
      <c r="E61" s="28"/>
      <c r="G61" s="29"/>
      <c r="H61" s="29"/>
      <c r="I61" s="29"/>
      <c r="J61" s="30"/>
      <c r="F61" s="28" t="inlineStr">
        <is>
          <t xml:space="preserve">(내)</t>
        </is>
      </c>
    </row>
    <row r="62" spans="2:10" ht="17.5" x14ac:dyDescent="0.25">
      <c r="B62" s="8" t="inlineStr">
        <is>
          <t xml:space="preserve">다</t>
        </is>
      </c>
      <c r="C62" s="9"/>
      <c r="D62" s="9"/>
      <c r="E62" s="28"/>
      <c r="F62" s="28" t="inlineStr">
        <is>
          <t xml:space="preserve">철근콘크리트조</t>
        </is>
      </c>
      <c r="G62" s="29"/>
      <c r="H62" s="29"/>
      <c r="I62" s="29"/>
      <c r="J62" s="30"/>
    </row>
    <row r="63" spans="2:10" ht="17.5" x14ac:dyDescent="0.25">
      <c r="B63" s="8"/>
      <c r="C63" s="9"/>
      <c r="D63" s="9"/>
      <c r="E63" s="28"/>
      <c r="F63" s="28" t="inlineStr">
        <is>
          <t xml:space="preserve">제3층 제301호</t>
        </is>
      </c>
      <c r="G63" s="29">
        <v>84.9</v>
      </c>
      <c r="H63" s="29">
        <f>+G63</f>
        <v>84.9</v>
      </c>
      <c r="I63" s="29">
        <v>450000000</v>
      </c>
      <c r="J63" s="31" t="inlineStr">
        <is>
          <t xml:space="preserve">비준가액</t>
        </is>
      </c>
    </row>
    <row r="64" spans="2:10" ht="17.5" x14ac:dyDescent="0.25">
      <c r="B64" s="8"/>
      <c r="C64" s="9"/>
      <c r="D64" s="9"/>
      <c r="E64" s="28"/>
      <c r="F64" s="28"/>
      <c r="G64" s="29"/>
      <c r="H64" s="29"/>
      <c r="I64" s="29"/>
      <c r="J64" s="31" t="inlineStr">
        <is>
          <t xml:space="preserve">공용면적</t>
        </is>
      </c>
    </row>
    <row r="65" spans="2:10" ht="17.5" x14ac:dyDescent="0.25">
      <c r="B65" s="8"/>
      <c r="C65" s="9"/>
      <c r="D65" s="9"/>
      <c r="E65" s="28"/>
      <c r="F65" s="28" t="inlineStr">
        <is>
          <t xml:space="preserve">1. 소유권 대지권</t>
        </is>
      </c>
      <c r="G65" s="29">
        <v>28.7</v>
      </c>
      <c r="H65" s="29"/>
      <c r="I65" s="29"/>
      <c r="J65" s="31" t="inlineStr">
        <is>
          <t xml:space="preserve">포함</t>
        </is>
      </c>
    </row>
    <row r="66" spans="2:10" ht="17.5" x14ac:dyDescent="0.25">
      <c r="B66" s="8"/>
      <c r="C66" s="9"/>
      <c r="D66" s="9"/>
      <c r="E66" s="28"/>
      <c r="F66" s="28"/>
      <c r="G66" s="29" t="str">
        <f>+$G$26&amp;" ×----"</f>
        <v>5000 ×----</v>
      </c>
      <c r="H66" s="29"/>
      <c r="I66" s="29"/>
      <c r="J66" s="30"/>
    </row>
    <row r="67" spans="2:10" ht="17.5" x14ac:dyDescent="0.25">
      <c r="B67" s="8"/>
      <c r="C67" s="9"/>
      <c r="D67" s="9"/>
      <c r="E67" s="28"/>
      <c r="F67" s="28"/>
      <c r="G67" s="29">
        <v>5000</v>
      </c>
      <c r="H67" s="29"/>
      <c r="I67" s="29"/>
      <c r="J67" s="30"/>
    </row>
    <row r="68" spans="2:10" ht="17.5" x14ac:dyDescent="0.25">
      <c r="B68" s="8"/>
      <c r="C68" s="9"/>
      <c r="D68" s="9"/>
      <c r="E68" s="28"/>
      <c r="F68" s="28"/>
      <c r="G68" s="29"/>
      <c r="H68" s="29"/>
      <c r="I68" s="29"/>
      <c r="J68" s="30"/>
    </row>
    <row r="69" spans="2:10" ht="17.5" x14ac:dyDescent="0.25">
      <c r="B69" s="8"/>
      <c r="C69" s="9"/>
      <c r="D69" s="9"/>
      <c r="E69" s="28"/>
      <c r="F69" s="28" t="inlineStr">
        <is>
          <t xml:space="preserve">2. 소유권 대지권</t>
        </is>
      </c>
      <c r="G69" s="29">
        <v>17.1</v>
      </c>
      <c r="H69" s="29"/>
      <c r="I69" s="29"/>
      <c r="J69" s="30"/>
    </row>
    <row r="70" spans="2:10" ht="17.5" x14ac:dyDescent="0.25">
      <c r="B70" s="8"/>
      <c r="C70" s="9"/>
      <c r="D70" s="9"/>
      <c r="E70" s="28"/>
      <c r="F70" s="28"/>
      <c r="G70" s="29" t="str">
        <f>+$G$30&amp;" ×----"</f>
        <v>3000 ×----</v>
      </c>
      <c r="H70" s="29"/>
      <c r="I70" s="29"/>
      <c r="J70" s="30"/>
    </row>
    <row r="71" spans="2:10" ht="17.5" x14ac:dyDescent="0.25">
      <c r="B71" s="8"/>
      <c r="C71" s="9"/>
      <c r="D71" s="9"/>
      <c r="E71" s="28"/>
      <c r="F71" s="28"/>
      <c r="G71" s="29">
        <v>3000</v>
      </c>
      <c r="H71" s="29"/>
      <c r="I71" s="29"/>
      <c r="J71" s="30"/>
    </row>
    <row r="72" spans="2:10" ht="17.5" x14ac:dyDescent="0.25">
      <c r="B72" s="8"/>
      <c r="C72" s="9"/>
      <c r="D72" s="9"/>
      <c r="E72" s="28"/>
      <c r="F72" s="28"/>
      <c r="G72" s="29"/>
      <c r="H72" s="29"/>
      <c r="I72" s="29"/>
      <c r="J72" s="30"/>
    </row>
    <row r="73" spans="2:10" ht="17.5" x14ac:dyDescent="0.25">
      <c r="B73" s="8"/>
      <c r="C73" s="9"/>
      <c r="D73" s="9"/>
      <c r="E73" s="28"/>
      <c r="F73" s="28"/>
      <c r="G73" s="29"/>
      <c r="H73" s="29"/>
      <c r="I73" s="29"/>
      <c r="J73" s="30"/>
    </row>
  </sheetData>
  <mergeCells count="9">
    <mergeCell ref="B1:J1"/>
    <mergeCell ref="I3:J3"/>
    <mergeCell ref="B4:B5"/>
    <mergeCell ref="C4:C5"/>
    <mergeCell ref="D4:D5"/>
    <mergeCell ref="E4:E5"/>
    <mergeCell ref="F4:F5"/>
    <mergeCell ref="G4:H4"/>
    <mergeCell ref="J4:J5"/>
  </mergeCells>
  <phoneticPr fontId="6" type="noConversion"/>
  <pageMargins left="0.35858585858585856" right="0.30416666666666664" top="0.75" bottom="0.75" header="0.3" footer="0.3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지현</dc:creator>
  <cp:lastModifiedBy>우진 정</cp:lastModifiedBy>
  <cp:revision>45</cp:revision>
  <cp:lastPrinted>2026-05-27T04:00:14Z</cp:lastPrinted>
  <dcterms:created xsi:type="dcterms:W3CDTF">2003-05-14T05:16:58Z</dcterms:created>
  <dcterms:modified xsi:type="dcterms:W3CDTF">2026-05-27T04:07:06Z</dcterms:modified>
</cp:coreProperties>
</file>