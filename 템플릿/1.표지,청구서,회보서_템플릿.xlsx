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G:\내 드라이브\@HIGHTECH\88.ARAP 개발\"/>
    </mc:Choice>
  </mc:AlternateContent>
  <xr:revisionPtr revIDLastSave="0" documentId="13_ncr:1_{8DFCDF16-AA18-4CD9-97D3-DE5CFFA5E74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기본자료" sheetId="1" r:id="rId1"/>
    <sheet name="표지" sheetId="2" r:id="rId2"/>
    <sheet name="청구서" sheetId="6" r:id="rId3"/>
    <sheet name="회보서" sheetId="4" r:id="rId4"/>
    <sheet name="수수료계산(20%할인및정상)" sheetId="5" state="hidden" r:id="rId5"/>
  </sheets>
  <definedNames>
    <definedName name="nmUnit">{"일","십","백","천","만"}</definedName>
    <definedName name="_xlnm.Print_Area" localSheetId="0">기본자료!$A$1:$G$15</definedName>
    <definedName name="_xlnm.Print_Area" localSheetId="2">청구서!$A$1:$AK$38</definedName>
    <definedName name="_xlnm.Print_Area" localSheetId="1">표지!$A$1:$J$34</definedName>
    <definedName name="_xlnm.Print_Area" localSheetId="3">회보서!$A$1:$K$35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6" l="1"/>
  <c r="B14" i="1"/>
  <c r="B17" i="1"/>
  <c r="AN15" i="6"/>
  <c r="AN13" i="6"/>
  <c r="M23" i="6"/>
  <c r="AN14" i="6"/>
  <c r="AN12" i="2"/>
  <c r="AO12" i="6"/>
  <c r="M13" i="2"/>
  <c r="M13" i="4"/>
  <c r="AQ28" i="2"/>
  <c r="AQ29" i="4"/>
  <c r="AN17" i="6" l="1"/>
  <c r="AQ29" i="6"/>
  <c r="AN16" i="6"/>
  <c r="AQ13" i="6"/>
  <c r="AP13" i="6" s="1"/>
  <c r="AO13" i="6" s="1"/>
  <c r="AQ14" i="6"/>
  <c r="AP14" i="6" s="1"/>
  <c r="AO14" i="6" s="1"/>
  <c r="AQ15" i="6"/>
  <c r="AP15" i="6" s="1"/>
  <c r="AO15" i="6" s="1"/>
  <c r="O32" i="6"/>
  <c r="A25" i="6"/>
  <c r="D13" i="2"/>
  <c r="A5" i="6"/>
  <c r="AE4" i="6"/>
  <c r="AR22" i="6" l="1"/>
  <c r="AQ4" i="6"/>
  <c r="AQ30" i="6" l="1"/>
  <c r="AQ31" i="6" s="1"/>
  <c r="M19" i="6"/>
  <c r="M20" i="6" s="1"/>
  <c r="M21" i="6" s="1"/>
  <c r="M22" i="6" s="1"/>
  <c r="M24" i="6" s="1"/>
  <c r="Q7" i="6" l="1"/>
  <c r="AR29" i="6"/>
  <c r="D11" i="2" l="1"/>
  <c r="B10" i="4" l="1"/>
  <c r="B9" i="4"/>
  <c r="B8" i="4"/>
  <c r="D15" i="2"/>
  <c r="B11" i="1" l="1"/>
  <c r="B10" i="1" s="1"/>
  <c r="A7" i="6" s="1"/>
  <c r="B15" i="1"/>
  <c r="A9" i="6" s="1"/>
  <c r="L13" i="2"/>
  <c r="A18" i="4" l="1"/>
</calcChain>
</file>

<file path=xl/sharedStrings.xml><?xml version="1.0" encoding="utf-8"?>
<sst xmlns="http://schemas.openxmlformats.org/spreadsheetml/2006/main" count="151" uniqueCount="109">
  <si>
    <t>★    계    좌    번    호   ★</t>
  </si>
  <si>
    <t>서울특별시 강남구 영동대로 511 트레이드타워 1305호 T.(02)6401-0706 F.(02)6971-9586</t>
  </si>
  <si>
    <t>하이테크 감정평가법인 주식회사</t>
  </si>
  <si>
    <t>총              계</t>
  </si>
  <si>
    <t>532001-01-294849</t>
  </si>
  <si>
    <t>FAX.(02)6971-9586</t>
  </si>
  <si>
    <t>TEL.(02)6401-0706</t>
  </si>
  <si>
    <t xml:space="preserve"> 2. 반송용 봉투 및 우표 . 끝</t>
  </si>
  <si>
    <t>서울특별시 강남구 영동대로 511 트레이드타워 1305호</t>
  </si>
  <si>
    <t>건     명  :</t>
  </si>
  <si>
    <t>공 부 발 급 비</t>
  </si>
  <si>
    <t>소       계</t>
  </si>
  <si>
    <t>기 타    실 비</t>
  </si>
  <si>
    <t>물 건 조 사 비</t>
  </si>
  <si>
    <t>결
제
·
공
람</t>
  </si>
  <si>
    <t>참    조 :</t>
  </si>
  <si>
    <t>특 별 용 역 비</t>
  </si>
  <si>
    <t>의 뢰 인  :</t>
  </si>
  <si>
    <t>제    목 :</t>
  </si>
  <si>
    <t xml:space="preserve"> 감정평가서번호 : </t>
  </si>
  <si>
    <t>번     호  :</t>
  </si>
  <si>
    <t>수    신 :</t>
  </si>
  <si>
    <t>6.의뢰문서번호</t>
  </si>
  <si>
    <t>하이테크감정평가법인㈜</t>
  </si>
  <si>
    <r>
      <rPr>
        <sz val="12"/>
        <color rgb="FF000000"/>
        <rFont val="굴림체"/>
        <family val="3"/>
        <charset val="129"/>
      </rPr>
      <t xml:space="preserve">첨    부 :  </t>
    </r>
    <r>
      <rPr>
        <b/>
        <sz val="12"/>
        <color rgb="FF000000"/>
        <rFont val="굴림체"/>
        <family val="3"/>
        <charset val="129"/>
      </rPr>
      <t xml:space="preserve"> </t>
    </r>
  </si>
  <si>
    <r>
      <rPr>
        <b/>
        <sz val="48"/>
        <color rgb="FF000000"/>
        <rFont val="굴림체"/>
        <family val="3"/>
        <charset val="129"/>
      </rPr>
      <t>감</t>
    </r>
    <r>
      <rPr>
        <b/>
        <sz val="20"/>
        <color rgb="FF000000"/>
        <rFont val="굴림체"/>
        <family val="3"/>
        <charset val="129"/>
      </rPr>
      <t xml:space="preserve"> </t>
    </r>
    <r>
      <rPr>
        <b/>
        <sz val="48"/>
        <color rgb="FF000000"/>
        <rFont val="굴림체"/>
        <family val="3"/>
        <charset val="129"/>
      </rPr>
      <t>정</t>
    </r>
    <r>
      <rPr>
        <b/>
        <sz val="20"/>
        <color rgb="FF000000"/>
        <rFont val="굴림체"/>
        <family val="3"/>
        <charset val="129"/>
      </rPr>
      <t xml:space="preserve"> </t>
    </r>
    <r>
      <rPr>
        <b/>
        <sz val="48"/>
        <color rgb="FF000000"/>
        <rFont val="굴림체"/>
        <family val="3"/>
        <charset val="129"/>
      </rPr>
      <t>평</t>
    </r>
    <r>
      <rPr>
        <b/>
        <sz val="20"/>
        <color rgb="FF000000"/>
        <rFont val="굴림체"/>
        <family val="3"/>
        <charset val="129"/>
      </rPr>
      <t xml:space="preserve"> </t>
    </r>
    <r>
      <rPr>
        <b/>
        <sz val="48"/>
        <color rgb="FF000000"/>
        <rFont val="굴림체"/>
        <family val="3"/>
        <charset val="129"/>
      </rPr>
      <t>가</t>
    </r>
    <r>
      <rPr>
        <b/>
        <sz val="20"/>
        <color rgb="FF000000"/>
        <rFont val="굴림체"/>
        <family val="3"/>
        <charset val="129"/>
      </rPr>
      <t xml:space="preserve"> </t>
    </r>
    <r>
      <rPr>
        <b/>
        <sz val="48"/>
        <color rgb="FF000000"/>
        <rFont val="굴림체"/>
        <family val="3"/>
        <charset val="129"/>
      </rPr>
      <t>서</t>
    </r>
  </si>
  <si>
    <t>3. 번호</t>
  </si>
  <si>
    <t>일 자
시 간</t>
  </si>
  <si>
    <t>감정평가 회보</t>
  </si>
  <si>
    <t xml:space="preserve">
접
수
</t>
  </si>
  <si>
    <t>4.평가수수료</t>
  </si>
  <si>
    <t>천원미만 절사</t>
  </si>
  <si>
    <t>시행일자 :</t>
  </si>
  <si>
    <t>8. 발송일</t>
  </si>
  <si>
    <t>1. 의뢰인</t>
  </si>
  <si>
    <t>문서번호 :</t>
  </si>
  <si>
    <t>5.의뢰일</t>
  </si>
  <si>
    <t>KB국민은행</t>
  </si>
  <si>
    <t>7. 의뢰건명</t>
  </si>
  <si>
    <t>기 납 부  착 수 금</t>
  </si>
  <si>
    <t>청     구     서</t>
  </si>
  <si>
    <t>정  산  청  구  액</t>
  </si>
  <si>
    <t>합     계(가 + 나)</t>
  </si>
  <si>
    <t>금           액</t>
  </si>
  <si>
    <t>부  가  가  치  세</t>
  </si>
  <si>
    <t>여          비</t>
  </si>
  <si>
    <t>(e-mail 발송)  끝.</t>
  </si>
  <si>
    <t>3. 세 금 계 산 서</t>
  </si>
  <si>
    <t>과            목</t>
  </si>
  <si>
    <t>비           고</t>
  </si>
  <si>
    <t>◐ 평 가 수 수 료◑</t>
  </si>
  <si>
    <t>2. 청    구    서</t>
  </si>
  <si>
    <t xml:space="preserve">1. 감 정 평 가 서 </t>
  </si>
  <si>
    <t>1. 귀하의 무궁한 발전을 기원합니다.</t>
  </si>
  <si>
    <t xml:space="preserve"> -  청   구   내   역  - </t>
  </si>
  <si>
    <t xml:space="preserve">  (가)     평 가 수 수 료  </t>
  </si>
  <si>
    <t xml:space="preserve">  </t>
  </si>
  <si>
    <t>단위</t>
  </si>
  <si>
    <t>처리과</t>
  </si>
  <si>
    <t>(나)</t>
  </si>
  <si>
    <t>-</t>
  </si>
  <si>
    <t>번 호</t>
  </si>
  <si>
    <t>지
시</t>
  </si>
  <si>
    <t>선
결</t>
  </si>
  <si>
    <t>부</t>
  </si>
  <si>
    <t>담당자</t>
  </si>
  <si>
    <t>비</t>
  </si>
  <si>
    <t>(</t>
  </si>
  <si>
    <t>)</t>
  </si>
  <si>
    <t>실</t>
  </si>
  <si>
    <t>하이테크 감정평가법인 주식회사  대표    김제프용진 (인)</t>
    <phoneticPr fontId="24" type="noConversion"/>
  </si>
  <si>
    <t>대표  김제프용진</t>
    <phoneticPr fontId="24" type="noConversion"/>
  </si>
  <si>
    <t>이 감정평가서는 감정평가 의뢰목적 외의 목적에 사용하거나 타인(의뢰인
또는 담보감정평가 시 확인은행이 아닌 자)이 사용할 수 없을 뿐 아니라 
복사, 개작(改作), 전재(全載)할 수 없으며 이로 인한 결과에 대하여 감정평가업자는 책임을 지지 않습니다.</t>
    <phoneticPr fontId="24" type="noConversion"/>
  </si>
  <si>
    <t>일</t>
    <phoneticPr fontId="24" type="noConversion"/>
  </si>
  <si>
    <t>평가금액</t>
  </si>
  <si>
    <t>상한</t>
  </si>
  <si>
    <t xml:space="preserve">1.국토부훈령 "감정평가법인등의 보수에 관한 기준"을 준수하였음.
</t>
    <phoneticPr fontId="24" type="noConversion"/>
  </si>
  <si>
    <t>기준</t>
  </si>
  <si>
    <t>하한</t>
  </si>
  <si>
    <t>기준-하한</t>
    <phoneticPr fontId="24" type="noConversion"/>
  </si>
  <si>
    <t>상한-하한</t>
    <phoneticPr fontId="24" type="noConversion"/>
  </si>
  <si>
    <t>특용</t>
  </si>
  <si>
    <t>착수금</t>
  </si>
  <si>
    <t>#</t>
  </si>
  <si>
    <t>적요</t>
  </si>
  <si>
    <t>금액</t>
  </si>
  <si>
    <t>비고</t>
  </si>
  <si>
    <t>예상평가액</t>
  </si>
  <si>
    <t>입력값</t>
  </si>
  <si>
    <t>하한 수수료</t>
  </si>
  <si>
    <t>기준 수수료</t>
  </si>
  <si>
    <t>상한 수수료</t>
  </si>
  <si>
    <t>하한 총액</t>
  </si>
  <si>
    <t>실비 및 VAT(10%)포함</t>
  </si>
  <si>
    <t>기준 총액</t>
  </si>
  <si>
    <t>상한 총액</t>
  </si>
  <si>
    <t>5억원 ~ 10억원, 5억원 초과액 × 0.09% × 0.8 + 646,000</t>
  </si>
  <si>
    <t>5억원 ~ 10억원, 5억원 초과액 × 0.09% + 745,000</t>
  </si>
  <si>
    <t>5억원 ~ 10억원, 5억원 초과액 × 0.09% × 1.2 + 844,000</t>
  </si>
  <si>
    <t>순수수료</t>
    <phoneticPr fontId="24" type="noConversion"/>
  </si>
  <si>
    <t>특용</t>
    <phoneticPr fontId="24" type="noConversion"/>
  </si>
  <si>
    <t>10억원 ~ 50억원, 10억원 초과액 × 0.08% × 0.8 + 1,006,000</t>
  </si>
  <si>
    <t>10억원 ~ 50억원, 10억원 초과액 × 0.08% + 1,195,000</t>
  </si>
  <si>
    <t>10억원 ~ 50억원, 10억원 초과액 × 0.08% × 1.2 + 1,384,000</t>
  </si>
  <si>
    <t>김인주</t>
    <phoneticPr fontId="24" type="noConversion"/>
  </si>
  <si>
    <t>HI260708-2703</t>
    <phoneticPr fontId="28" type="noConversion"/>
  </si>
  <si>
    <t>서울특별시 동작구 노량진동 323외 1필지 우성아파트 제108동 제5층 제505호</t>
    <phoneticPr fontId="24" type="noConversion"/>
  </si>
  <si>
    <t>2. 의뢰건명</t>
    <phoneticPr fontId="24" type="noConversion"/>
  </si>
  <si>
    <t>2026/07/08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</si>
</sst>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yyyy&quot;년&quot;\ m&quot;월&quot;\ d&quot;일&quot;;@"/>
    <numFmt numFmtId="177" formatCode="#,##0_);[Red]\(#,##0\)"/>
    <numFmt numFmtId="178" formatCode="#,##0_ "/>
  </numFmts>
  <fonts count="32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48"/>
      <color rgb="FF000000"/>
      <name val="굴림체"/>
      <family val="3"/>
      <charset val="129"/>
    </font>
    <font>
      <b/>
      <sz val="12"/>
      <color rgb="FF000000"/>
      <name val="굴림"/>
      <family val="3"/>
      <charset val="129"/>
    </font>
    <font>
      <sz val="11"/>
      <color rgb="FF000000"/>
      <name val="굴림체"/>
      <family val="3"/>
      <charset val="129"/>
    </font>
    <font>
      <b/>
      <u/>
      <sz val="24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4"/>
      <color rgb="FF000000"/>
      <name val="굴림체"/>
      <family val="3"/>
      <charset val="129"/>
    </font>
    <font>
      <b/>
      <sz val="10"/>
      <color rgb="FFFFFFFF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3"/>
      <color rgb="FF000000"/>
      <name val="굴림체"/>
      <family val="3"/>
      <charset val="129"/>
    </font>
    <font>
      <sz val="13"/>
      <color rgb="FF000000"/>
      <name val="굴림체"/>
      <family val="3"/>
      <charset val="129"/>
    </font>
    <font>
      <sz val="13"/>
      <color rgb="FFFFFFFF"/>
      <name val="굴림체"/>
      <family val="3"/>
      <charset val="129"/>
    </font>
    <font>
      <b/>
      <sz val="24"/>
      <color rgb="FF000000"/>
      <name val="굴림체"/>
      <family val="3"/>
      <charset val="129"/>
    </font>
    <font>
      <sz val="11"/>
      <color rgb="FF000000"/>
      <name val="굴림"/>
      <family val="3"/>
      <charset val="129"/>
    </font>
    <font>
      <sz val="10"/>
      <color rgb="FF000000"/>
      <name val="굴림체"/>
      <family val="3"/>
      <charset val="129"/>
    </font>
    <font>
      <b/>
      <u/>
      <sz val="15"/>
      <color rgb="FF000000"/>
      <name val="굴림체"/>
      <family val="3"/>
      <charset val="129"/>
    </font>
    <font>
      <sz val="12"/>
      <color rgb="FFFFFFFF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1"/>
      <color rgb="FF568ED4"/>
      <name val="굴림체"/>
      <family val="3"/>
      <charset val="129"/>
    </font>
    <font>
      <b/>
      <sz val="22"/>
      <color rgb="FF000000"/>
      <name val="굴림체"/>
      <family val="3"/>
      <charset val="129"/>
    </font>
    <font>
      <b/>
      <sz val="20"/>
      <color rgb="FF000000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sz val="1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8"/>
      <color rgb="FF212529"/>
      <name val="Pretendard"/>
      <family val="3"/>
      <charset val="129"/>
    </font>
    <font>
      <sz val="8"/>
      <color rgb="FF212529"/>
      <name val="Pretendard"/>
      <family val="3"/>
      <charset val="129"/>
    </font>
    <font>
      <b/>
      <sz val="11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EEE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99B4E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>
      <alignment vertical="center"/>
    </xf>
    <xf numFmtId="41" fontId="23" fillId="0" borderId="0">
      <alignment vertical="center"/>
    </xf>
    <xf numFmtId="42" fontId="23" fillId="0" borderId="0">
      <alignment vertical="center"/>
    </xf>
    <xf numFmtId="0" fontId="1" fillId="0" borderId="0"/>
  </cellStyleXfs>
  <cellXfs count="15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8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1" fontId="0" fillId="0" borderId="0" xfId="1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1" fontId="10" fillId="0" borderId="0" xfId="1" applyFont="1">
      <alignment vertical="center"/>
    </xf>
    <xf numFmtId="0" fontId="0" fillId="0" borderId="0" xfId="0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4" fillId="0" borderId="9" xfId="3" applyFont="1" applyBorder="1" applyAlignment="1">
      <alignment horizontal="center" vertical="center" wrapText="1"/>
    </xf>
    <xf numFmtId="0" fontId="4" fillId="0" borderId="9" xfId="3" applyFont="1" applyBorder="1" applyAlignment="1">
      <alignment horizontal="center" vertical="center"/>
    </xf>
    <xf numFmtId="0" fontId="11" fillId="0" borderId="0" xfId="3" applyFont="1" applyAlignment="1">
      <alignment vertical="center" wrapText="1"/>
    </xf>
    <xf numFmtId="0" fontId="4" fillId="0" borderId="10" xfId="3" applyFont="1" applyBorder="1" applyAlignment="1">
      <alignment horizontal="center" vertical="center"/>
    </xf>
    <xf numFmtId="0" fontId="11" fillId="0" borderId="10" xfId="3" applyFont="1" applyBorder="1" applyAlignment="1">
      <alignment vertical="center" wrapText="1"/>
    </xf>
    <xf numFmtId="0" fontId="12" fillId="0" borderId="0" xfId="3" applyFont="1" applyAlignment="1">
      <alignment horizontal="left" vertical="center"/>
    </xf>
    <xf numFmtId="0" fontId="12" fillId="0" borderId="0" xfId="3" applyFont="1" applyAlignment="1">
      <alignment horizontal="center" vertical="center"/>
    </xf>
    <xf numFmtId="49" fontId="12" fillId="0" borderId="0" xfId="3" applyNumberFormat="1" applyFont="1" applyAlignment="1">
      <alignment horizontal="center" vertical="center"/>
    </xf>
    <xf numFmtId="0" fontId="13" fillId="0" borderId="0" xfId="3" applyFont="1" applyAlignment="1">
      <alignment vertical="center"/>
    </xf>
    <xf numFmtId="0" fontId="4" fillId="0" borderId="0" xfId="3" applyFont="1" applyAlignment="1">
      <alignment horizontal="left" vertical="center"/>
    </xf>
    <xf numFmtId="0" fontId="6" fillId="0" borderId="0" xfId="3" applyFont="1" applyAlignment="1">
      <alignment vertical="center" wrapText="1"/>
    </xf>
    <xf numFmtId="0" fontId="6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6" fillId="0" borderId="0" xfId="3" applyFont="1" applyAlignment="1">
      <alignment vertical="center"/>
    </xf>
    <xf numFmtId="0" fontId="15" fillId="0" borderId="0" xfId="3" applyFont="1" applyAlignment="1">
      <alignment horizontal="center" vertical="center" wrapText="1"/>
    </xf>
    <xf numFmtId="0" fontId="15" fillId="0" borderId="0" xfId="3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0" xfId="3" applyFont="1" applyAlignment="1">
      <alignment vertical="center"/>
    </xf>
    <xf numFmtId="0" fontId="6" fillId="0" borderId="0" xfId="3" applyFont="1" applyAlignment="1">
      <alignment horizontal="center" vertical="top"/>
    </xf>
    <xf numFmtId="0" fontId="6" fillId="0" borderId="0" xfId="3" applyFont="1" applyAlignment="1">
      <alignment horizontal="left" vertical="top"/>
    </xf>
    <xf numFmtId="14" fontId="6" fillId="0" borderId="0" xfId="3" applyNumberFormat="1" applyFont="1" applyAlignment="1">
      <alignment horizontal="left" vertical="top"/>
    </xf>
    <xf numFmtId="0" fontId="17" fillId="0" borderId="0" xfId="0" applyFont="1">
      <alignment vertical="center"/>
    </xf>
    <xf numFmtId="177" fontId="8" fillId="0" borderId="0" xfId="1" applyNumberFormat="1" applyFont="1">
      <alignment vertical="center"/>
    </xf>
    <xf numFmtId="178" fontId="8" fillId="0" borderId="0" xfId="0" applyNumberFormat="1" applyFont="1">
      <alignment vertical="center"/>
    </xf>
    <xf numFmtId="42" fontId="8" fillId="0" borderId="0" xfId="2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3" applyFont="1" applyAlignment="1">
      <alignment horizontal="center" vertical="center"/>
    </xf>
    <xf numFmtId="0" fontId="18" fillId="0" borderId="0" xfId="3" applyFont="1" applyAlignment="1">
      <alignment vertical="center"/>
    </xf>
    <xf numFmtId="0" fontId="6" fillId="0" borderId="0" xfId="2" applyNumberFormat="1" applyFont="1" applyAlignment="1">
      <alignment horizontal="center" vertical="center"/>
    </xf>
    <xf numFmtId="0" fontId="6" fillId="0" borderId="0" xfId="2" applyNumberFormat="1" applyFont="1" applyAlignment="1">
      <alignment horizontal="center" vertical="center" wrapText="1"/>
    </xf>
    <xf numFmtId="0" fontId="8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4" fillId="0" borderId="0" xfId="0" applyFont="1" applyAlignment="1">
      <alignment horizontal="center" vertical="center"/>
    </xf>
    <xf numFmtId="0" fontId="0" fillId="0" borderId="8" xfId="0" applyBorder="1">
      <alignment vertical="center"/>
    </xf>
    <xf numFmtId="0" fontId="4" fillId="0" borderId="1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14" fontId="23" fillId="3" borderId="0" xfId="0" applyNumberFormat="1" applyFont="1" applyFill="1">
      <alignment vertical="center"/>
    </xf>
    <xf numFmtId="0" fontId="23" fillId="0" borderId="0" xfId="0" applyFont="1">
      <alignment vertical="center"/>
    </xf>
    <xf numFmtId="41" fontId="0" fillId="0" borderId="0" xfId="0" applyNumberFormat="1">
      <alignment vertical="center"/>
    </xf>
    <xf numFmtId="0" fontId="26" fillId="3" borderId="0" xfId="0" applyFont="1" applyFill="1">
      <alignment vertical="center"/>
    </xf>
    <xf numFmtId="177" fontId="26" fillId="3" borderId="0" xfId="1" applyNumberFormat="1" applyFont="1" applyFill="1">
      <alignment vertical="center"/>
    </xf>
    <xf numFmtId="3" fontId="23" fillId="0" borderId="0" xfId="0" applyNumberFormat="1" applyFont="1">
      <alignment vertical="center"/>
    </xf>
    <xf numFmtId="177" fontId="23" fillId="3" borderId="0" xfId="0" applyNumberFormat="1" applyFont="1" applyFill="1">
      <alignment vertical="center"/>
    </xf>
    <xf numFmtId="0" fontId="27" fillId="4" borderId="0" xfId="0" applyFont="1" applyFill="1">
      <alignment vertical="center"/>
    </xf>
    <xf numFmtId="6" fontId="0" fillId="0" borderId="0" xfId="3" applyNumberFormat="1" applyFont="1" applyAlignment="1">
      <alignment vertical="center"/>
    </xf>
    <xf numFmtId="41" fontId="0" fillId="0" borderId="0" xfId="3" applyNumberFormat="1" applyFont="1" applyAlignment="1">
      <alignment vertical="center"/>
    </xf>
    <xf numFmtId="41" fontId="25" fillId="5" borderId="9" xfId="3" applyNumberFormat="1" applyFont="1" applyFill="1" applyBorder="1" applyAlignment="1">
      <alignment vertical="center"/>
    </xf>
    <xf numFmtId="0" fontId="29" fillId="3" borderId="17" xfId="0" applyFont="1" applyFill="1" applyBorder="1" applyAlignment="1">
      <alignment horizontal="center" vertical="center"/>
    </xf>
    <xf numFmtId="0" fontId="30" fillId="3" borderId="18" xfId="0" applyFont="1" applyFill="1" applyBorder="1" applyAlignment="1">
      <alignment vertical="center" wrapText="1"/>
    </xf>
    <xf numFmtId="3" fontId="30" fillId="3" borderId="18" xfId="0" applyNumberFormat="1" applyFont="1" applyFill="1" applyBorder="1" applyAlignment="1">
      <alignment vertical="center" wrapText="1"/>
    </xf>
    <xf numFmtId="0" fontId="29" fillId="3" borderId="18" xfId="0" applyFont="1" applyFill="1" applyBorder="1" applyAlignment="1">
      <alignment vertical="center" wrapText="1"/>
    </xf>
    <xf numFmtId="3" fontId="29" fillId="3" borderId="18" xfId="0" applyNumberFormat="1" applyFont="1" applyFill="1" applyBorder="1" applyAlignment="1">
      <alignment vertical="center" wrapText="1"/>
    </xf>
    <xf numFmtId="0" fontId="29" fillId="6" borderId="18" xfId="0" applyFont="1" applyFill="1" applyBorder="1" applyAlignment="1">
      <alignment vertical="center" wrapText="1"/>
    </xf>
    <xf numFmtId="3" fontId="29" fillId="6" borderId="18" xfId="0" applyNumberFormat="1" applyFont="1" applyFill="1" applyBorder="1" applyAlignment="1">
      <alignment vertical="center" wrapText="1"/>
    </xf>
    <xf numFmtId="3" fontId="0" fillId="0" borderId="0" xfId="0" applyNumberFormat="1">
      <alignment vertical="center"/>
    </xf>
    <xf numFmtId="41" fontId="23" fillId="0" borderId="0" xfId="1">
      <alignment vertical="center"/>
    </xf>
    <xf numFmtId="42" fontId="0" fillId="0" borderId="0" xfId="0" applyNumberFormat="1">
      <alignment vertical="center"/>
    </xf>
    <xf numFmtId="0" fontId="31" fillId="4" borderId="0" xfId="0" applyFont="1" applyFill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>
      <alignment vertical="center"/>
    </xf>
    <xf numFmtId="41" fontId="4" fillId="0" borderId="9" xfId="1" applyFont="1" applyBorder="1" applyAlignment="1">
      <alignment horizontal="right" vertical="center"/>
    </xf>
    <xf numFmtId="42" fontId="8" fillId="0" borderId="0" xfId="2" applyFont="1" applyAlignment="1">
      <alignment horizontal="left" vertical="center"/>
    </xf>
    <xf numFmtId="0" fontId="6" fillId="0" borderId="0" xfId="0" applyFont="1" applyAlignment="1">
      <alignment vertical="top" wrapText="1"/>
    </xf>
    <xf numFmtId="0" fontId="19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41" fontId="4" fillId="0" borderId="14" xfId="1" applyFont="1" applyBorder="1" applyAlignment="1">
      <alignment horizontal="right" vertical="center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center" vertical="center"/>
    </xf>
    <xf numFmtId="41" fontId="4" fillId="0" borderId="15" xfId="1" applyFont="1" applyBorder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42" fontId="7" fillId="0" borderId="9" xfId="2" applyFont="1" applyBorder="1" applyAlignment="1">
      <alignment horizontal="right" vertical="center"/>
    </xf>
    <xf numFmtId="0" fontId="20" fillId="0" borderId="9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42" fontId="7" fillId="2" borderId="9" xfId="2" applyFont="1" applyFill="1" applyBorder="1" applyAlignment="1">
      <alignment horizontal="right" vertical="center"/>
    </xf>
    <xf numFmtId="0" fontId="20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2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4" fillId="0" borderId="0" xfId="3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6" fillId="0" borderId="0" xfId="3" applyNumberFormat="1" applyFont="1" applyAlignment="1">
      <alignment horizontal="left" vertical="top"/>
    </xf>
    <xf numFmtId="0" fontId="4" fillId="0" borderId="0" xfId="3" applyFont="1" applyAlignment="1">
      <alignment horizontal="left" vertical="top" wrapText="1"/>
    </xf>
    <xf numFmtId="0" fontId="4" fillId="0" borderId="8" xfId="3" applyFont="1" applyBorder="1" applyAlignment="1">
      <alignment horizontal="left" vertical="top" wrapText="1"/>
    </xf>
    <xf numFmtId="0" fontId="6" fillId="0" borderId="0" xfId="3" applyFont="1" applyAlignment="1">
      <alignment horizontal="left" vertical="top" wrapText="1"/>
    </xf>
    <xf numFmtId="0" fontId="12" fillId="0" borderId="0" xfId="3" applyFont="1" applyAlignment="1">
      <alignment horizontal="left" vertical="center" wrapText="1"/>
    </xf>
    <xf numFmtId="0" fontId="4" fillId="0" borderId="11" xfId="3" applyFont="1" applyBorder="1" applyAlignment="1">
      <alignment horizontal="center" vertical="center"/>
    </xf>
    <xf numFmtId="0" fontId="4" fillId="0" borderId="13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 wrapText="1"/>
    </xf>
    <xf numFmtId="0" fontId="4" fillId="0" borderId="13" xfId="3" applyFont="1" applyBorder="1" applyAlignment="1">
      <alignment horizontal="center" vertical="center" wrapText="1"/>
    </xf>
    <xf numFmtId="0" fontId="4" fillId="0" borderId="14" xfId="3" applyFont="1" applyBorder="1" applyAlignment="1">
      <alignment horizontal="center" vertical="center" wrapText="1"/>
    </xf>
    <xf numFmtId="0" fontId="4" fillId="0" borderId="16" xfId="3" applyFont="1" applyBorder="1" applyAlignment="1">
      <alignment horizontal="center" vertical="center" wrapText="1"/>
    </xf>
    <xf numFmtId="0" fontId="4" fillId="0" borderId="9" xfId="3" applyFont="1" applyBorder="1" applyAlignment="1">
      <alignment horizontal="center" vertical="center" wrapText="1"/>
    </xf>
    <xf numFmtId="0" fontId="4" fillId="0" borderId="9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49" fontId="12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 wrapText="1"/>
    </xf>
    <xf numFmtId="0" fontId="15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23" fillId="4" borderId="0" xfId="0" applyFont="1" applyFill="1" applyAlignment="1">
      <alignment vertical="center" wrapText="1"/>
    </xf>
    <xf numFmtId="0" fontId="23" fillId="4" borderId="0" xfId="0" applyFont="1" applyFill="1">
      <alignment vertical="center"/>
    </xf>
    <xf numFmtId="49" fontId="23" fillId="4" borderId="0" xfId="0" applyNumberFormat="1" applyFont="1" applyFill="1">
      <alignment vertical="center"/>
    </xf>
  </cellXfs>
  <cellStyles count="4">
    <cellStyle name="쉼표 [0]" xfId="1" builtinId="6"/>
    <cellStyle name="통화 [0]" xfId="2" builtinId="7"/>
    <cellStyle name="표준" xfId="0" builtinId="0"/>
    <cellStyle name="표준_적격심사서류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E17"/>
  <sheetViews>
    <sheetView tabSelected="1" view="pageBreakPreview" zoomScale="130" zoomScaleSheetLayoutView="130" workbookViewId="0">
      <selection activeCell="B15" sqref="B15"/>
    </sheetView>
  </sheetViews>
  <sheetFormatPr defaultColWidth="8.9140625" defaultRowHeight="17" x14ac:dyDescent="0.45"/>
  <cols>
    <col min="1" max="1" width="19.9140625" customWidth="1"/>
    <col min="2" max="2" width="15.9140625" customWidth="1"/>
    <col min="8" max="8" width="0.1640625" customWidth="1"/>
    <col min="13" max="13" width="10" customWidth="1"/>
  </cols>
  <sheetData>
    <row r="3" spans="1:5" x14ac:dyDescent="0.45">
      <c r="B3" s="29"/>
      <c r="C3" s="29"/>
      <c r="D3" s="29"/>
    </row>
    <row r="4" spans="1:5" x14ac:dyDescent="0.45">
      <c r="B4" s="30"/>
      <c r="C4" s="31"/>
      <c r="D4" s="31"/>
    </row>
    <row r="6" spans="1:5" x14ac:dyDescent="0.45">
      <c r="A6" t="s">
        <v>34</v>
      </c>
      <c r="B6" s="157" t="s">
        <v>104</v>
      </c>
    </row>
    <row r="7" spans="1:5" ht="85" x14ac:dyDescent="0.45">
      <c r="A7" s="73" t="s">
        <v>107</v>
      </c>
      <c r="B7" s="156" t="s">
        <v>106</v>
      </c>
    </row>
    <row r="8" spans="1:5" x14ac:dyDescent="0.45">
      <c r="A8" t="s">
        <v>26</v>
      </c>
      <c r="B8" s="79" t="s">
        <v>105</v>
      </c>
    </row>
    <row r="10" spans="1:5" x14ac:dyDescent="0.45">
      <c r="A10" t="s">
        <v>30</v>
      </c>
      <c r="B10" s="75" t="str">
        <f>NUMBERSTRING(B11*1&amp;REPT(0,MATCH(C11,nmUnit,0)-1),1)</f>
        <v>일백일십오만칠천오백</v>
      </c>
      <c r="C10" s="65" t="s">
        <v>57</v>
      </c>
    </row>
    <row r="11" spans="1:5" x14ac:dyDescent="0.45">
      <c r="B11" s="76">
        <f>청구서!M24</f>
        <v>1157500</v>
      </c>
      <c r="C11" s="78" t="s">
        <v>73</v>
      </c>
    </row>
    <row r="12" spans="1:5" x14ac:dyDescent="0.45">
      <c r="D12" s="25"/>
      <c r="E12" s="25"/>
    </row>
    <row r="13" spans="1:5" x14ac:dyDescent="0.45">
      <c r="A13" t="s">
        <v>36</v>
      </c>
      <c r="B13" s="158" t="s">
        <v>108</v>
      </c>
    </row>
    <row r="14" spans="1:5" x14ac:dyDescent="0.45">
      <c r="A14" t="s">
        <v>22</v>
      </c>
      <c r="B14" s="73" t="str">
        <f>+B8</f>
        <v>HI260708-2703</v>
      </c>
    </row>
    <row r="15" spans="1:5" x14ac:dyDescent="0.45">
      <c r="A15" t="s">
        <v>38</v>
      </c>
      <c r="B15" s="77" t="str">
        <f>B7</f>
        <v>서울특별시 동작구 노량진동 323외 1필지 우성아파트 제108동 제5층 제505호</v>
      </c>
    </row>
    <row r="17" spans="1:4" x14ac:dyDescent="0.45">
      <c r="A17" t="s">
        <v>33</v>
      </c>
      <c r="B17" s="72">
        <f ca="1">+TODAY()</f>
        <v>46215</v>
      </c>
      <c r="D17" s="66"/>
    </row>
  </sheetData>
  <phoneticPr fontId="24" type="noConversion"/>
  <dataValidations disablePrompts="1" count="1">
    <dataValidation type="list" allowBlank="1" showInputMessage="1" showErrorMessage="1" sqref="C4" xr:uid="{00000000-0002-0000-0000-000000000000}">
      <formula1>"일,십,백,천, 만"</formula1>
    </dataValidation>
  </dataValidations>
  <pageMargins left="0.7086111307144165" right="0.7086111307144165" top="0.74750000238418579" bottom="0.74750000238418579" header="0.31486111879348755" footer="0.3148611187934875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2:AV34"/>
  <sheetViews>
    <sheetView showGridLines="0" view="pageBreakPreview" zoomScaleNormal="100" zoomScaleSheetLayoutView="100" workbookViewId="0">
      <selection activeCell="F10" sqref="F10"/>
    </sheetView>
  </sheetViews>
  <sheetFormatPr defaultColWidth="8.9140625" defaultRowHeight="17" x14ac:dyDescent="0.45"/>
  <cols>
    <col min="1" max="1" width="9" customWidth="1"/>
    <col min="2" max="2" width="5.4140625" customWidth="1"/>
    <col min="3" max="3" width="12.08203125" customWidth="1"/>
    <col min="4" max="4" width="3.6640625" customWidth="1"/>
    <col min="5" max="5" width="4.9140625" customWidth="1"/>
    <col min="6" max="7" width="9"/>
    <col min="8" max="8" width="8.4140625" customWidth="1"/>
    <col min="9" max="10" width="4.9140625" customWidth="1"/>
    <col min="11" max="11" width="9" customWidth="1"/>
  </cols>
  <sheetData>
    <row r="2" spans="2:48" x14ac:dyDescent="0.45">
      <c r="G2" s="124"/>
      <c r="H2" s="124"/>
      <c r="I2" s="124"/>
      <c r="J2" s="124"/>
    </row>
    <row r="3" spans="2:48" x14ac:dyDescent="0.45">
      <c r="G3" s="124"/>
      <c r="H3" s="124"/>
      <c r="I3" s="124"/>
      <c r="J3" s="124"/>
    </row>
    <row r="4" spans="2:48" x14ac:dyDescent="0.45">
      <c r="G4" s="124"/>
      <c r="H4" s="124"/>
      <c r="I4" s="124"/>
      <c r="J4" s="124"/>
    </row>
    <row r="6" spans="2:48" ht="61.5" x14ac:dyDescent="0.45">
      <c r="F6" s="1" t="s">
        <v>25</v>
      </c>
    </row>
    <row r="9" spans="2:48" ht="17.5" thickBot="1" x14ac:dyDescent="0.5"/>
    <row r="10" spans="2:48" ht="17.5" thickBot="1" x14ac:dyDescent="0.5">
      <c r="B10" s="2"/>
      <c r="C10" s="3"/>
      <c r="D10" s="9"/>
      <c r="E10" s="3"/>
      <c r="F10" s="3"/>
      <c r="G10" s="3"/>
      <c r="H10" s="3"/>
      <c r="I10" s="3"/>
      <c r="J10" s="4"/>
      <c r="AS10" s="83" t="s">
        <v>83</v>
      </c>
      <c r="AT10" s="83" t="s">
        <v>84</v>
      </c>
      <c r="AU10" s="83" t="s">
        <v>85</v>
      </c>
      <c r="AV10" s="83" t="s">
        <v>86</v>
      </c>
    </row>
    <row r="11" spans="2:48" ht="17.25" customHeight="1" thickBot="1" x14ac:dyDescent="0.5">
      <c r="B11" s="5"/>
      <c r="C11" s="10" t="s">
        <v>17</v>
      </c>
      <c r="D11" s="10" t="str">
        <f>기본자료!B6</f>
        <v>김인주</v>
      </c>
      <c r="J11" s="68"/>
      <c r="AS11" s="84">
        <v>1</v>
      </c>
      <c r="AT11" s="84" t="s">
        <v>87</v>
      </c>
      <c r="AU11" s="85">
        <v>940000000</v>
      </c>
      <c r="AV11" s="84" t="s">
        <v>88</v>
      </c>
    </row>
    <row r="12" spans="2:48" ht="17.25" customHeight="1" thickBot="1" x14ac:dyDescent="0.5">
      <c r="B12" s="5"/>
      <c r="D12" s="10"/>
      <c r="J12" s="68"/>
      <c r="AN12" s="90">
        <f>+AU11</f>
        <v>940000000</v>
      </c>
      <c r="AS12" s="86">
        <v>2</v>
      </c>
      <c r="AT12" s="86" t="s">
        <v>89</v>
      </c>
      <c r="AU12" s="87">
        <v>962800</v>
      </c>
      <c r="AV12" s="86" t="s">
        <v>96</v>
      </c>
    </row>
    <row r="13" spans="2:48" ht="16.5" customHeight="1" thickBot="1" x14ac:dyDescent="0.5">
      <c r="B13" s="5"/>
      <c r="C13" s="10" t="s">
        <v>9</v>
      </c>
      <c r="D13" s="122" t="str">
        <f>+기본자료!B7</f>
        <v>서울특별시 동작구 노량진동 323외 1필지 우성아파트 제108동 제5층 제505호</v>
      </c>
      <c r="E13" s="122"/>
      <c r="F13" s="122"/>
      <c r="G13" s="122"/>
      <c r="H13" s="122"/>
      <c r="I13" s="122"/>
      <c r="J13" s="123"/>
      <c r="L13" t="str">
        <f>기본자료!B7</f>
        <v>서울특별시 동작구 노량진동 323외 1필지 우성아파트 제108동 제5층 제505호</v>
      </c>
      <c r="M13">
        <f>+AN13-14300+1100</f>
        <v>-13200</v>
      </c>
      <c r="AS13" s="86">
        <v>3</v>
      </c>
      <c r="AT13" s="86" t="s">
        <v>90</v>
      </c>
      <c r="AU13" s="87">
        <v>1141000</v>
      </c>
      <c r="AV13" s="86" t="s">
        <v>97</v>
      </c>
    </row>
    <row r="14" spans="2:48" ht="29.25" customHeight="1" thickBot="1" x14ac:dyDescent="0.5">
      <c r="B14" s="5"/>
      <c r="D14" s="122"/>
      <c r="E14" s="122"/>
      <c r="F14" s="122"/>
      <c r="G14" s="122"/>
      <c r="H14" s="122"/>
      <c r="I14" s="122"/>
      <c r="J14" s="123"/>
      <c r="AS14" s="86">
        <v>4</v>
      </c>
      <c r="AT14" s="86" t="s">
        <v>91</v>
      </c>
      <c r="AU14" s="87">
        <v>1319200</v>
      </c>
      <c r="AV14" s="86" t="s">
        <v>98</v>
      </c>
    </row>
    <row r="15" spans="2:48" ht="32" thickBot="1" x14ac:dyDescent="0.5">
      <c r="B15" s="5"/>
      <c r="C15" s="10" t="s">
        <v>20</v>
      </c>
      <c r="D15" s="10" t="str">
        <f>"("&amp;기본자료!B8&amp;")"</f>
        <v>(HI260708-2703)</v>
      </c>
      <c r="J15" s="68"/>
      <c r="AS15" s="88">
        <v>5</v>
      </c>
      <c r="AT15" s="88" t="s">
        <v>92</v>
      </c>
      <c r="AU15" s="89">
        <v>1059080</v>
      </c>
      <c r="AV15" s="88" t="s">
        <v>93</v>
      </c>
    </row>
    <row r="16" spans="2:48" ht="32" thickBot="1" x14ac:dyDescent="0.5">
      <c r="B16" s="6"/>
      <c r="C16" s="7"/>
      <c r="D16" s="7"/>
      <c r="E16" s="7"/>
      <c r="F16" s="7"/>
      <c r="G16" s="7"/>
      <c r="H16" s="7"/>
      <c r="I16" s="7"/>
      <c r="J16" s="8"/>
      <c r="AS16" s="88">
        <v>6</v>
      </c>
      <c r="AT16" s="88" t="s">
        <v>94</v>
      </c>
      <c r="AU16" s="89">
        <v>1255100</v>
      </c>
      <c r="AV16" s="88" t="s">
        <v>93</v>
      </c>
    </row>
    <row r="17" spans="2:48" ht="32" thickBot="1" x14ac:dyDescent="0.5">
      <c r="AS17" s="88">
        <v>7</v>
      </c>
      <c r="AT17" s="88" t="s">
        <v>95</v>
      </c>
      <c r="AU17" s="89">
        <v>1451120</v>
      </c>
      <c r="AV17" s="88" t="s">
        <v>93</v>
      </c>
    </row>
    <row r="24" spans="2:48" ht="16.5" customHeight="1" x14ac:dyDescent="0.45">
      <c r="B24" s="127" t="s">
        <v>72</v>
      </c>
      <c r="C24" s="128"/>
      <c r="D24" s="128"/>
      <c r="E24" s="128"/>
      <c r="F24" s="128"/>
      <c r="G24" s="128"/>
      <c r="H24" s="128"/>
      <c r="I24" s="128"/>
      <c r="J24" s="129"/>
    </row>
    <row r="25" spans="2:48" x14ac:dyDescent="0.45">
      <c r="B25" s="130"/>
      <c r="C25" s="124"/>
      <c r="D25" s="124"/>
      <c r="E25" s="124"/>
      <c r="F25" s="124"/>
      <c r="G25" s="124"/>
      <c r="H25" s="124"/>
      <c r="I25" s="124"/>
      <c r="J25" s="131"/>
    </row>
    <row r="26" spans="2:48" x14ac:dyDescent="0.45">
      <c r="B26" s="130"/>
      <c r="C26" s="124"/>
      <c r="D26" s="124"/>
      <c r="E26" s="124"/>
      <c r="F26" s="124"/>
      <c r="G26" s="124"/>
      <c r="H26" s="124"/>
      <c r="I26" s="124"/>
      <c r="J26" s="131"/>
    </row>
    <row r="27" spans="2:48" x14ac:dyDescent="0.45">
      <c r="B27" s="130"/>
      <c r="C27" s="124"/>
      <c r="D27" s="124"/>
      <c r="E27" s="124"/>
      <c r="F27" s="124"/>
      <c r="G27" s="124"/>
      <c r="H27" s="124"/>
      <c r="I27" s="124"/>
      <c r="J27" s="131"/>
    </row>
    <row r="28" spans="2:48" x14ac:dyDescent="0.45">
      <c r="B28" s="132"/>
      <c r="C28" s="133"/>
      <c r="D28" s="133"/>
      <c r="E28" s="133"/>
      <c r="F28" s="133"/>
      <c r="G28" s="133"/>
      <c r="H28" s="133"/>
      <c r="I28" s="133"/>
      <c r="J28" s="134"/>
      <c r="AQ28">
        <f>+AP28-M23</f>
        <v>0</v>
      </c>
    </row>
    <row r="32" spans="2:48" ht="73.5" customHeight="1" x14ac:dyDescent="0.45">
      <c r="B32" s="125" t="s">
        <v>70</v>
      </c>
      <c r="C32" s="125"/>
      <c r="D32" s="125"/>
      <c r="E32" s="125"/>
      <c r="F32" s="125"/>
      <c r="G32" s="125"/>
      <c r="H32" s="125"/>
      <c r="I32" s="125"/>
      <c r="J32" s="125"/>
    </row>
    <row r="33" spans="3:7" x14ac:dyDescent="0.45">
      <c r="F33" s="14" t="s">
        <v>8</v>
      </c>
    </row>
    <row r="34" spans="3:7" x14ac:dyDescent="0.45">
      <c r="C34" s="126" t="s">
        <v>6</v>
      </c>
      <c r="D34" s="126"/>
      <c r="E34" s="126"/>
      <c r="G34" s="11" t="s">
        <v>5</v>
      </c>
    </row>
  </sheetData>
  <mergeCells count="5">
    <mergeCell ref="D13:J14"/>
    <mergeCell ref="G2:J4"/>
    <mergeCell ref="B32:J32"/>
    <mergeCell ref="C34:E34"/>
    <mergeCell ref="B24:J28"/>
  </mergeCells>
  <phoneticPr fontId="24" type="noConversion"/>
  <pageMargins left="0.76972222328186035" right="0.76972222328186035" top="0.75" bottom="0.75" header="0.30000001192092896" footer="0.3000000119209289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57D1-13F0-4909-AF52-5C4F0A2D34C9}">
  <sheetPr>
    <tabColor rgb="FFFFFF00"/>
    <pageSetUpPr fitToPage="1"/>
  </sheetPr>
  <dimension ref="A1:AW36"/>
  <sheetViews>
    <sheetView showGridLines="0" zoomScale="85" zoomScaleNormal="85" workbookViewId="0">
      <selection activeCell="M14" sqref="M14:X14"/>
    </sheetView>
  </sheetViews>
  <sheetFormatPr defaultColWidth="8.83203125" defaultRowHeight="17" x14ac:dyDescent="0.45"/>
  <cols>
    <col min="1" max="12" width="2.33203125" style="11" customWidth="1"/>
    <col min="13" max="13" width="2.58203125" style="11" customWidth="1"/>
    <col min="14" max="18" width="2.33203125" style="11" customWidth="1"/>
    <col min="19" max="19" width="3.5" style="11" customWidth="1"/>
    <col min="20" max="21" width="2.33203125" style="11" customWidth="1"/>
    <col min="22" max="22" width="6.33203125" style="11" customWidth="1"/>
    <col min="23" max="33" width="2.33203125" style="11" customWidth="1"/>
    <col min="34" max="34" width="2.33203125" customWidth="1"/>
    <col min="35" max="36" width="2.58203125" customWidth="1"/>
    <col min="37" max="37" width="8.203125E-2" customWidth="1"/>
    <col min="38" max="38" width="2.58203125" customWidth="1"/>
    <col min="39" max="39" width="9" bestFit="1" customWidth="1"/>
    <col min="40" max="40" width="12.58203125" customWidth="1"/>
    <col min="41" max="41" width="14.5" bestFit="1" customWidth="1"/>
    <col min="42" max="42" width="11.33203125" bestFit="1" customWidth="1"/>
    <col min="43" max="44" width="11.5" bestFit="1" customWidth="1"/>
    <col min="48" max="48" width="10.25" bestFit="1" customWidth="1"/>
  </cols>
  <sheetData>
    <row r="1" spans="1:49" ht="25.5" customHeight="1" x14ac:dyDescent="0.45"/>
    <row r="2" spans="1:49" ht="31" x14ac:dyDescent="0.45">
      <c r="S2" s="12" t="s">
        <v>40</v>
      </c>
    </row>
    <row r="4" spans="1:49" x14ac:dyDescent="0.45">
      <c r="W4" s="14"/>
      <c r="X4" s="16" t="s">
        <v>19</v>
      </c>
      <c r="Y4" s="15"/>
      <c r="Z4" s="14"/>
      <c r="AA4" s="14"/>
      <c r="AE4" s="11" t="str">
        <f>기본자료!B8</f>
        <v>HI260708-2703</v>
      </c>
      <c r="AQ4" s="74">
        <f>+AO13-AO14</f>
        <v>200909.09090909082</v>
      </c>
    </row>
    <row r="5" spans="1:49" ht="18.5" x14ac:dyDescent="0.45">
      <c r="A5" s="55" t="str">
        <f>기본자료!B6&amp;" 귀하"</f>
        <v>김인주 귀하</v>
      </c>
    </row>
    <row r="6" spans="1:49" ht="10.5" customHeight="1" x14ac:dyDescent="0.45"/>
    <row r="7" spans="1:49" ht="17.5" x14ac:dyDescent="0.45">
      <c r="A7" s="56" t="str">
        <f>"일금 "&amp;기본자료!B10&amp;"원정 "</f>
        <v xml:space="preserve">일금 일백일십오만칠천오백원정 </v>
      </c>
      <c r="M7" s="58"/>
      <c r="P7" s="64" t="s">
        <v>67</v>
      </c>
      <c r="Q7" s="99">
        <f>M24</f>
        <v>1157500</v>
      </c>
      <c r="R7" s="99"/>
      <c r="S7" s="99"/>
      <c r="T7" s="99"/>
      <c r="U7" s="99"/>
      <c r="V7" s="99"/>
      <c r="W7" s="57" t="s">
        <v>68</v>
      </c>
    </row>
    <row r="9" spans="1:49" ht="59.25" customHeight="1" thickBot="1" x14ac:dyDescent="0.5">
      <c r="A9" s="100" t="str">
        <f>"    "&amp;기본자료!B13&amp;"자 귀 제 『 "&amp;기본자료!B14&amp;" 』 호로 의뢰하신 『 "&amp;기본자료!B15&amp;" 』 건에 대한 감정평가가 완료되었으므로 상기 금액을 '감정평가업자의 보수에 관한 기준' 에 의거 청구하오니 정산하여 주시기 바랍니다."</f>
        <v xml:space="preserve">    2026/07/08자 귀 제 『 HI260708-2703 』 호로 의뢰하신 『 서울특별시 동작구 노량진동 323외 1필지 우성아파트 제108동 제5층 제505호 』 건에 대한 감정평가가 완료되었으므로 상기 금액을 '감정평가업자의 보수에 관한 기준' 에 의거 청구하오니 정산하여 주시기 바랍니다.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</row>
    <row r="10" spans="1:49" ht="23.25" customHeight="1" thickBot="1" x14ac:dyDescent="0.5"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7"/>
      <c r="AK10" s="17"/>
      <c r="AT10" s="83" t="s">
        <v>83</v>
      </c>
      <c r="AU10" s="83" t="s">
        <v>84</v>
      </c>
      <c r="AV10" s="83" t="s">
        <v>85</v>
      </c>
      <c r="AW10" s="83" t="s">
        <v>86</v>
      </c>
    </row>
    <row r="11" spans="1:49" ht="18" thickBot="1" x14ac:dyDescent="0.5"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9" t="s">
        <v>54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7"/>
      <c r="AK11" s="17"/>
      <c r="AT11" s="84">
        <v>1</v>
      </c>
      <c r="AU11" s="84" t="s">
        <v>87</v>
      </c>
      <c r="AV11" s="85">
        <v>1076000000</v>
      </c>
      <c r="AW11" s="84" t="s">
        <v>88</v>
      </c>
    </row>
    <row r="12" spans="1:49" ht="22.65" customHeight="1" thickBot="1" x14ac:dyDescent="0.5">
      <c r="A12" s="101" t="s">
        <v>48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2" t="s">
        <v>43</v>
      </c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 t="s">
        <v>49</v>
      </c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M12" t="s">
        <v>74</v>
      </c>
      <c r="AO12" s="80">
        <f>+AV11</f>
        <v>1076000000</v>
      </c>
      <c r="AP12" s="81"/>
      <c r="AT12" s="86">
        <v>2</v>
      </c>
      <c r="AU12" s="86" t="s">
        <v>89</v>
      </c>
      <c r="AV12" s="87">
        <v>1054640</v>
      </c>
      <c r="AW12" s="86" t="s">
        <v>101</v>
      </c>
    </row>
    <row r="13" spans="1:49" ht="18" customHeight="1" thickBot="1" x14ac:dyDescent="0.5">
      <c r="A13" s="94" t="s">
        <v>55</v>
      </c>
      <c r="B13" s="95"/>
      <c r="C13" s="95"/>
      <c r="D13" s="96"/>
      <c r="E13" s="96"/>
      <c r="F13" s="96"/>
      <c r="G13" s="96"/>
      <c r="H13" s="96"/>
      <c r="I13" s="96"/>
      <c r="J13" s="96"/>
      <c r="K13" s="95"/>
      <c r="L13" s="97"/>
      <c r="M13" s="98">
        <f>+AN15</f>
      </c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69" t="s">
        <v>50</v>
      </c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1"/>
      <c r="AM13" t="s">
        <v>75</v>
      </c>
      <c r="AN13" s="74">
        <f>+ROUNDDOWN(AV14,-3)</f>
        <v>1456000</v>
      </c>
      <c r="AO13" s="81">
        <f>+AP13/1.1</f>
        <v>1456363.6363636362</v>
      </c>
      <c r="AP13" s="81">
        <f>+ROUNDDOWN(AQ13,-3)</f>
        <v>1602000</v>
      </c>
      <c r="AQ13" s="90">
        <f>+AV17</f>
        <v>1602656</v>
      </c>
      <c r="AT13" s="86">
        <v>3</v>
      </c>
      <c r="AU13" s="86" t="s">
        <v>90</v>
      </c>
      <c r="AV13" s="87">
        <v>1255800</v>
      </c>
      <c r="AW13" s="86" t="s">
        <v>102</v>
      </c>
    </row>
    <row r="14" spans="1:49" ht="18" customHeight="1" thickBot="1" x14ac:dyDescent="0.5">
      <c r="A14" s="26"/>
      <c r="B14" s="20"/>
      <c r="C14" s="21"/>
      <c r="D14" s="103" t="s">
        <v>45</v>
      </c>
      <c r="E14" s="103"/>
      <c r="F14" s="103"/>
      <c r="G14" s="103"/>
      <c r="H14" s="103"/>
      <c r="I14" s="103"/>
      <c r="J14" s="103"/>
      <c r="K14" s="104"/>
      <c r="L14" s="104"/>
      <c r="M14" s="105">
        <v>40000</v>
      </c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6" t="s">
        <v>76</v>
      </c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8"/>
      <c r="AM14" t="s">
        <v>77</v>
      </c>
      <c r="AN14" s="74">
        <f>+ROUNDDOWN(AV13,-3)</f>
        <v>1255000</v>
      </c>
      <c r="AO14" s="81">
        <f>+AP14/1.1</f>
        <v>1255454.5454545454</v>
      </c>
      <c r="AP14" s="81">
        <f>+ROUNDDOWN(AQ14,-3)</f>
        <v>1381000</v>
      </c>
      <c r="AQ14" s="77">
        <f>+AV16</f>
        <v>1381380</v>
      </c>
      <c r="AT14" s="86">
        <v>4</v>
      </c>
      <c r="AU14" s="86" t="s">
        <v>91</v>
      </c>
      <c r="AV14" s="87">
        <v>1456960</v>
      </c>
      <c r="AW14" s="86" t="s">
        <v>103</v>
      </c>
    </row>
    <row r="15" spans="1:49" ht="18" customHeight="1" thickBot="1" x14ac:dyDescent="0.5">
      <c r="A15" s="27"/>
      <c r="B15" s="13" t="s">
        <v>59</v>
      </c>
      <c r="C15" s="22"/>
      <c r="D15" s="112" t="s">
        <v>13</v>
      </c>
      <c r="E15" s="112"/>
      <c r="F15" s="112"/>
      <c r="G15" s="112"/>
      <c r="H15" s="112"/>
      <c r="I15" s="112"/>
      <c r="J15" s="112"/>
      <c r="K15" s="112"/>
      <c r="L15" s="112"/>
      <c r="M15" s="113">
        <v>15000</v>
      </c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06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8"/>
      <c r="AM15" t="s">
        <v>78</v>
      </c>
      <c r="AN15" s="74">
        <f>+ROUNDDOWN(AV12,-3)</f>
        <v>1054000</v>
      </c>
      <c r="AO15" s="81">
        <f>+AP15/1.1</f>
        <v>1054545.4545454544</v>
      </c>
      <c r="AP15" s="81">
        <f>+ROUNDDOWN(AQ15,-3)</f>
        <v>1160000</v>
      </c>
      <c r="AQ15" s="90">
        <f>+AV15</f>
        <v>1160104</v>
      </c>
      <c r="AT15" s="88">
        <v>5</v>
      </c>
      <c r="AU15" s="88" t="s">
        <v>92</v>
      </c>
      <c r="AV15" s="89">
        <v>1160104</v>
      </c>
      <c r="AW15" s="88" t="s">
        <v>93</v>
      </c>
    </row>
    <row r="16" spans="1:49" ht="18" customHeight="1" thickBot="1" x14ac:dyDescent="0.5">
      <c r="A16" s="27"/>
      <c r="B16" s="13" t="s">
        <v>69</v>
      </c>
      <c r="C16" s="22"/>
      <c r="D16" s="112" t="s">
        <v>10</v>
      </c>
      <c r="E16" s="112"/>
      <c r="F16" s="112"/>
      <c r="G16" s="112"/>
      <c r="H16" s="112"/>
      <c r="I16" s="112"/>
      <c r="J16" s="112"/>
      <c r="K16" s="112"/>
      <c r="L16" s="112"/>
      <c r="M16" s="113">
        <v>15000</v>
      </c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06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8"/>
      <c r="AN16" s="82">
        <f>AN14-AN15</f>
        <v>201000</v>
      </c>
      <c r="AO16" s="82" t="s">
        <v>79</v>
      </c>
      <c r="AT16" s="88">
        <v>6</v>
      </c>
      <c r="AU16" s="88" t="s">
        <v>94</v>
      </c>
      <c r="AV16" s="89">
        <v>1381380</v>
      </c>
      <c r="AW16" s="88" t="s">
        <v>93</v>
      </c>
    </row>
    <row r="17" spans="1:49" ht="18" customHeight="1" thickBot="1" x14ac:dyDescent="0.5">
      <c r="A17" s="27"/>
      <c r="B17" s="13"/>
      <c r="C17" s="22"/>
      <c r="D17" s="112" t="s">
        <v>12</v>
      </c>
      <c r="E17" s="112"/>
      <c r="F17" s="112"/>
      <c r="G17" s="112"/>
      <c r="H17" s="112"/>
      <c r="I17" s="112"/>
      <c r="J17" s="112"/>
      <c r="K17" s="112"/>
      <c r="L17" s="112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06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8"/>
      <c r="AN17" s="82">
        <f>AN13-AN15</f>
        <v>402000</v>
      </c>
      <c r="AO17" s="82" t="s">
        <v>80</v>
      </c>
      <c r="AT17" s="88">
        <v>7</v>
      </c>
      <c r="AU17" s="88" t="s">
        <v>95</v>
      </c>
      <c r="AV17" s="89">
        <v>1602656</v>
      </c>
      <c r="AW17" s="88" t="s">
        <v>93</v>
      </c>
    </row>
    <row r="18" spans="1:49" ht="18" customHeight="1" x14ac:dyDescent="0.45">
      <c r="A18" s="27"/>
      <c r="B18" s="13" t="s">
        <v>66</v>
      </c>
      <c r="C18" s="22"/>
      <c r="D18" s="112" t="s">
        <v>16</v>
      </c>
      <c r="E18" s="112"/>
      <c r="F18" s="112"/>
      <c r="G18" s="112"/>
      <c r="H18" s="112"/>
      <c r="I18" s="112"/>
      <c r="J18" s="112"/>
      <c r="K18" s="112"/>
      <c r="L18" s="112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06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8"/>
      <c r="AM18" t="s">
        <v>81</v>
      </c>
      <c r="AO18" s="81"/>
      <c r="AP18" s="81"/>
    </row>
    <row r="19" spans="1:49" ht="18" customHeight="1" x14ac:dyDescent="0.45">
      <c r="A19" s="28"/>
      <c r="B19" s="23"/>
      <c r="C19" s="24"/>
      <c r="D19" s="114" t="s">
        <v>11</v>
      </c>
      <c r="E19" s="114"/>
      <c r="F19" s="114"/>
      <c r="G19" s="114"/>
      <c r="H19" s="114"/>
      <c r="I19" s="114"/>
      <c r="J19" s="114"/>
      <c r="K19" s="114"/>
      <c r="L19" s="114"/>
      <c r="M19" s="98">
        <f>SUM(M14:X18)</f>
        <v>70000</v>
      </c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109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1"/>
      <c r="AO19" s="81"/>
    </row>
    <row r="20" spans="1:49" ht="18" customHeight="1" x14ac:dyDescent="0.45">
      <c r="A20" s="114" t="s">
        <v>42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5">
        <f>ROUNDDOWN(SUM(M13,M19),-3)</f>
        <v>1325000</v>
      </c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94" t="s">
        <v>31</v>
      </c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7"/>
    </row>
    <row r="21" spans="1:49" ht="18" customHeight="1" x14ac:dyDescent="0.45">
      <c r="A21" s="114" t="s">
        <v>44</v>
      </c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98">
        <f>M20*0.1</f>
        <v>132500</v>
      </c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</row>
    <row r="22" spans="1:49" ht="18" customHeight="1" x14ac:dyDescent="0.45">
      <c r="A22" s="114" t="s">
        <v>3</v>
      </c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5">
        <f>M20+M21</f>
        <v>1457500</v>
      </c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R22" s="74">
        <f>+M13+M18</f>
        <v>1255000</v>
      </c>
    </row>
    <row r="23" spans="1:49" ht="18" customHeight="1" x14ac:dyDescent="0.45">
      <c r="A23" s="114" t="s">
        <v>39</v>
      </c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98">
        <f>+AN23</f>
        <v>300000</v>
      </c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M23" s="93" t="s">
        <v>82</v>
      </c>
      <c r="AN23">
        <v>300000</v>
      </c>
    </row>
    <row r="24" spans="1:49" ht="18" customHeight="1" x14ac:dyDescent="0.45">
      <c r="A24" s="119" t="s">
        <v>41</v>
      </c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20">
        <f>M22-M23</f>
        <v>1157500</v>
      </c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</row>
    <row r="25" spans="1:49" x14ac:dyDescent="0.45">
      <c r="A25" s="11" t="str">
        <f>" ※ 수수료 입금시 입금자 명의를 감정서번호("&amp;기본자료!B8&amp;")로 하여주시기 바랍니다."</f>
        <v xml:space="preserve"> ※ 수수료 입금시 입금자 명의를 감정서번호(HI260708-2703)로 하여주시기 바랍니다.</v>
      </c>
    </row>
    <row r="26" spans="1:49" x14ac:dyDescent="0.45">
      <c r="AG26" s="11" t="s">
        <v>56</v>
      </c>
    </row>
    <row r="27" spans="1:49" x14ac:dyDescent="0.45">
      <c r="S27" s="13" t="s">
        <v>0</v>
      </c>
    </row>
    <row r="28" spans="1:49" x14ac:dyDescent="0.45">
      <c r="F28" s="11" t="s">
        <v>37</v>
      </c>
      <c r="S28" s="31" t="s">
        <v>4</v>
      </c>
      <c r="Z28" s="11" t="s">
        <v>23</v>
      </c>
    </row>
    <row r="29" spans="1:49" x14ac:dyDescent="0.45">
      <c r="AP29" s="73" t="s">
        <v>99</v>
      </c>
      <c r="AQ29" s="91">
        <f>+M13</f>
        <v>1255000</v>
      </c>
      <c r="AR29" s="92">
        <f>+AQ29-M24</f>
        <v>97500</v>
      </c>
    </row>
    <row r="30" spans="1:49" x14ac:dyDescent="0.45">
      <c r="AP30" s="73" t="s">
        <v>100</v>
      </c>
      <c r="AQ30" s="91">
        <f>+M18</f>
        <v>0</v>
      </c>
    </row>
    <row r="31" spans="1:49" x14ac:dyDescent="0.45">
      <c r="AQ31" s="74">
        <f>+SUM(AQ29:AQ30)</f>
        <v>1255000</v>
      </c>
    </row>
    <row r="32" spans="1:49" x14ac:dyDescent="0.45">
      <c r="O32" s="118">
        <f ca="1">+기본자료!B17</f>
        <v>46215</v>
      </c>
      <c r="P32" s="118"/>
      <c r="Q32" s="118"/>
      <c r="R32" s="118"/>
      <c r="S32" s="118"/>
      <c r="T32" s="118"/>
      <c r="U32" s="118"/>
      <c r="V32" s="118"/>
      <c r="W32" s="118"/>
      <c r="X32" s="118"/>
    </row>
    <row r="34" spans="10:22" ht="31" x14ac:dyDescent="0.45">
      <c r="S34" s="67" t="s">
        <v>2</v>
      </c>
    </row>
    <row r="35" spans="10:22" x14ac:dyDescent="0.45">
      <c r="S35" s="14" t="s">
        <v>8</v>
      </c>
    </row>
    <row r="36" spans="10:22" x14ac:dyDescent="0.45">
      <c r="J36" s="11" t="s">
        <v>6</v>
      </c>
      <c r="V36" s="11" t="s">
        <v>5</v>
      </c>
    </row>
  </sheetData>
  <mergeCells count="36">
    <mergeCell ref="O32:X32"/>
    <mergeCell ref="A23:L23"/>
    <mergeCell ref="M23:X23"/>
    <mergeCell ref="Y23:AK23"/>
    <mergeCell ref="A24:L24"/>
    <mergeCell ref="M24:X24"/>
    <mergeCell ref="Y24:AK24"/>
    <mergeCell ref="A21:L21"/>
    <mergeCell ref="M21:X21"/>
    <mergeCell ref="Y21:AK21"/>
    <mergeCell ref="A22:L22"/>
    <mergeCell ref="M22:X22"/>
    <mergeCell ref="Y22:AK22"/>
    <mergeCell ref="Y20:AK20"/>
    <mergeCell ref="D14:L14"/>
    <mergeCell ref="M14:X14"/>
    <mergeCell ref="Y14:AK19"/>
    <mergeCell ref="D15:L15"/>
    <mergeCell ref="M15:X15"/>
    <mergeCell ref="D16:L16"/>
    <mergeCell ref="M16:X16"/>
    <mergeCell ref="D17:L17"/>
    <mergeCell ref="M17:X17"/>
    <mergeCell ref="D18:L18"/>
    <mergeCell ref="M18:X18"/>
    <mergeCell ref="D19:L19"/>
    <mergeCell ref="M19:X19"/>
    <mergeCell ref="A20:L20"/>
    <mergeCell ref="M20:X20"/>
    <mergeCell ref="A13:L13"/>
    <mergeCell ref="M13:X13"/>
    <mergeCell ref="Q7:V7"/>
    <mergeCell ref="A9:AK9"/>
    <mergeCell ref="A12:L12"/>
    <mergeCell ref="M12:X12"/>
    <mergeCell ref="Y12:AK12"/>
  </mergeCells>
  <phoneticPr fontId="24" type="noConversion"/>
  <printOptions horizontalCentered="1"/>
  <pageMargins left="0.15722222626209259" right="0.15722222626209259" top="0.74750000238418579" bottom="0.74750000238418579" header="0.31486111879348755" footer="0.3148611187934875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AV37"/>
  <sheetViews>
    <sheetView showGridLines="0" zoomScaleNormal="100" workbookViewId="0">
      <selection activeCell="AQ22" sqref="AQ22"/>
    </sheetView>
  </sheetViews>
  <sheetFormatPr defaultColWidth="8.9140625" defaultRowHeight="17" x14ac:dyDescent="0.45"/>
  <cols>
    <col min="1" max="1" width="11.1640625" style="11" customWidth="1"/>
    <col min="2" max="2" width="9.1640625" style="11" customWidth="1"/>
    <col min="3" max="3" width="7.1640625" style="11" customWidth="1"/>
    <col min="4" max="4" width="4.6640625" style="11" customWidth="1"/>
    <col min="5" max="5" width="4.9140625" style="11" customWidth="1"/>
    <col min="6" max="6" width="4.1640625" style="11" customWidth="1"/>
    <col min="7" max="7" width="8.6640625" style="11" customWidth="1"/>
    <col min="8" max="8" width="12.6640625" style="11" customWidth="1"/>
    <col min="9" max="9" width="4.08203125" style="11" customWidth="1"/>
    <col min="10" max="10" width="11.6640625" style="11" customWidth="1"/>
    <col min="11" max="11" width="8.08203125" style="11" customWidth="1"/>
    <col min="12" max="16" width="2.1640625" style="11" customWidth="1"/>
    <col min="17" max="17" width="3.4140625" style="11" customWidth="1"/>
    <col min="18" max="31" width="2.1640625" style="11" customWidth="1"/>
    <col min="32" max="32" width="2.1640625" customWidth="1"/>
    <col min="33" max="36" width="2.6640625" customWidth="1"/>
    <col min="38" max="38" width="3.6640625" customWidth="1"/>
    <col min="41" max="41" width="3.6640625" customWidth="1"/>
  </cols>
  <sheetData>
    <row r="1" spans="1:48" ht="25.5" customHeight="1" x14ac:dyDescent="0.45"/>
    <row r="2" spans="1:48" ht="31.65" customHeight="1" x14ac:dyDescent="0.45">
      <c r="A2" s="136" t="s">
        <v>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Q2" s="12"/>
    </row>
    <row r="4" spans="1:48" x14ac:dyDescent="0.45">
      <c r="A4" s="51" t="s">
        <v>1</v>
      </c>
      <c r="B4" s="51"/>
      <c r="C4" s="51"/>
      <c r="D4" s="51"/>
      <c r="E4" s="51"/>
      <c r="F4" s="51"/>
      <c r="G4" s="51"/>
      <c r="H4" s="51"/>
      <c r="I4" s="51"/>
      <c r="J4" s="51"/>
      <c r="K4" s="51"/>
      <c r="U4" s="14"/>
      <c r="V4" s="16"/>
      <c r="X4" s="14"/>
      <c r="Y4" s="14"/>
      <c r="AC4" s="15"/>
    </row>
    <row r="5" spans="1:48" ht="6.75" customHeight="1" x14ac:dyDescent="0.4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U5" s="14"/>
      <c r="V5" s="16"/>
      <c r="X5" s="14"/>
      <c r="Y5" s="14"/>
      <c r="AC5" s="15"/>
    </row>
    <row r="6" spans="1:48" ht="9" customHeight="1" x14ac:dyDescent="0.4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AL6" s="48"/>
      <c r="AM6" s="154"/>
      <c r="AN6" s="154"/>
      <c r="AO6" s="48"/>
      <c r="AP6" s="153"/>
      <c r="AQ6" s="153"/>
    </row>
    <row r="7" spans="1:48" ht="12" customHeight="1" x14ac:dyDescent="0.4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AL7" s="153"/>
      <c r="AM7" s="48"/>
      <c r="AN7" s="49"/>
      <c r="AO7" s="153"/>
      <c r="AP7" s="153"/>
      <c r="AQ7" s="153"/>
    </row>
    <row r="8" spans="1:48" ht="29.25" customHeight="1" x14ac:dyDescent="0.45">
      <c r="A8" s="52" t="s">
        <v>35</v>
      </c>
      <c r="B8" s="53" t="str">
        <f>기본자료!B8</f>
        <v>HI260708-2703</v>
      </c>
      <c r="C8" s="52"/>
      <c r="D8" s="52"/>
      <c r="E8" s="52"/>
      <c r="F8" s="34" t="s">
        <v>63</v>
      </c>
      <c r="G8" s="142"/>
      <c r="H8" s="143"/>
      <c r="I8" s="34" t="s">
        <v>62</v>
      </c>
      <c r="J8" s="144"/>
      <c r="K8" s="145"/>
      <c r="AL8" s="153"/>
      <c r="AM8" s="49"/>
      <c r="AN8" s="49"/>
      <c r="AO8" s="154"/>
      <c r="AP8" s="153"/>
      <c r="AQ8" s="153"/>
    </row>
    <row r="9" spans="1:48" ht="29.25" customHeight="1" thickBot="1" x14ac:dyDescent="0.5">
      <c r="A9" s="52" t="s">
        <v>32</v>
      </c>
      <c r="B9" s="137">
        <f ca="1">기본자료!B17</f>
        <v>46215</v>
      </c>
      <c r="C9" s="137"/>
      <c r="D9" s="54"/>
      <c r="E9" s="52"/>
      <c r="F9" s="146" t="s">
        <v>29</v>
      </c>
      <c r="G9" s="34" t="s">
        <v>27</v>
      </c>
      <c r="H9" s="35"/>
      <c r="I9" s="148" t="s">
        <v>14</v>
      </c>
      <c r="J9" s="144"/>
      <c r="K9" s="145"/>
      <c r="AL9" s="154"/>
      <c r="AM9" s="154"/>
      <c r="AN9" s="49"/>
      <c r="AO9" s="154"/>
      <c r="AP9" s="153"/>
      <c r="AQ9" s="153"/>
    </row>
    <row r="10" spans="1:48" ht="29.25" customHeight="1" thickBot="1" x14ac:dyDescent="0.5">
      <c r="A10" s="52" t="s">
        <v>21</v>
      </c>
      <c r="B10" s="138" t="str">
        <f>기본자료!B6</f>
        <v>김인주</v>
      </c>
      <c r="C10" s="138"/>
      <c r="D10" s="138"/>
      <c r="E10" s="139"/>
      <c r="F10" s="147"/>
      <c r="G10" s="35" t="s">
        <v>61</v>
      </c>
      <c r="H10" s="35"/>
      <c r="I10" s="149"/>
      <c r="J10" s="144"/>
      <c r="K10" s="145"/>
      <c r="AL10" s="154"/>
      <c r="AM10" s="154"/>
      <c r="AN10" s="49"/>
      <c r="AO10" s="154"/>
      <c r="AP10" s="153"/>
      <c r="AQ10" s="153"/>
      <c r="AS10" s="83" t="s">
        <v>83</v>
      </c>
      <c r="AT10" s="83" t="s">
        <v>84</v>
      </c>
      <c r="AU10" s="83" t="s">
        <v>85</v>
      </c>
      <c r="AV10" s="83" t="s">
        <v>86</v>
      </c>
    </row>
    <row r="11" spans="1:48" ht="29.25" customHeight="1" thickBot="1" x14ac:dyDescent="0.5">
      <c r="A11" s="52" t="s">
        <v>15</v>
      </c>
      <c r="B11" s="138" t="s">
        <v>60</v>
      </c>
      <c r="C11" s="138"/>
      <c r="D11" s="138"/>
      <c r="E11" s="139"/>
      <c r="F11" s="142" t="s">
        <v>58</v>
      </c>
      <c r="G11" s="143"/>
      <c r="H11" s="35"/>
      <c r="I11" s="149"/>
      <c r="J11" s="144"/>
      <c r="K11" s="145"/>
      <c r="AS11" s="84">
        <v>1</v>
      </c>
      <c r="AT11" s="84" t="s">
        <v>87</v>
      </c>
      <c r="AU11" s="85">
        <v>940000000</v>
      </c>
      <c r="AV11" s="84" t="s">
        <v>88</v>
      </c>
    </row>
    <row r="12" spans="1:48" ht="29.25" customHeight="1" thickBot="1" x14ac:dyDescent="0.5">
      <c r="F12" s="142" t="s">
        <v>65</v>
      </c>
      <c r="G12" s="143"/>
      <c r="H12" s="35"/>
      <c r="I12" s="149"/>
      <c r="J12" s="144"/>
      <c r="K12" s="145"/>
      <c r="AL12" s="48"/>
      <c r="AM12" s="154"/>
      <c r="AN12" s="154"/>
      <c r="AO12" s="48"/>
      <c r="AP12" s="153"/>
      <c r="AQ12" s="153"/>
      <c r="AS12" s="86">
        <v>2</v>
      </c>
      <c r="AT12" s="86" t="s">
        <v>89</v>
      </c>
      <c r="AU12" s="87">
        <v>962800</v>
      </c>
      <c r="AV12" s="86" t="s">
        <v>96</v>
      </c>
    </row>
    <row r="13" spans="1:48" ht="26.25" customHeight="1" thickBot="1" x14ac:dyDescent="0.5">
      <c r="A13" s="52" t="s">
        <v>18</v>
      </c>
      <c r="B13" s="140" t="s">
        <v>28</v>
      </c>
      <c r="C13" s="140"/>
      <c r="D13" s="140"/>
      <c r="E13" s="140"/>
      <c r="F13" s="36"/>
      <c r="G13" s="36"/>
      <c r="H13" s="36"/>
      <c r="I13" s="36"/>
      <c r="J13" s="36"/>
      <c r="K13" s="36"/>
      <c r="M13" s="11">
        <f>+AN13-14300+1100</f>
        <v>-13200</v>
      </c>
      <c r="AL13" s="153"/>
      <c r="AM13" s="48"/>
      <c r="AN13" s="49"/>
      <c r="AO13" s="153"/>
      <c r="AP13" s="153"/>
      <c r="AQ13" s="153"/>
      <c r="AS13" s="86">
        <v>3</v>
      </c>
      <c r="AT13" s="86" t="s">
        <v>90</v>
      </c>
      <c r="AU13" s="87">
        <v>1141000</v>
      </c>
      <c r="AV13" s="86" t="s">
        <v>97</v>
      </c>
    </row>
    <row r="14" spans="1:48" ht="3.75" customHeight="1" thickBot="1" x14ac:dyDescent="0.5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AL14" s="153"/>
      <c r="AM14" s="49"/>
      <c r="AN14" s="49"/>
      <c r="AO14" s="154"/>
      <c r="AP14" s="153"/>
      <c r="AQ14" s="153"/>
      <c r="AS14" s="86">
        <v>4</v>
      </c>
      <c r="AT14" s="86" t="s">
        <v>91</v>
      </c>
      <c r="AU14" s="87">
        <v>1319200</v>
      </c>
      <c r="AV14" s="86" t="s">
        <v>98</v>
      </c>
    </row>
    <row r="15" spans="1:48" ht="18.899999999999999" customHeight="1" thickTop="1" thickBot="1" x14ac:dyDescent="0.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AL15" s="154"/>
      <c r="AM15" s="154"/>
      <c r="AN15" s="49"/>
      <c r="AO15" s="154"/>
      <c r="AP15" s="153"/>
      <c r="AQ15" s="153"/>
      <c r="AS15" s="88">
        <v>5</v>
      </c>
      <c r="AT15" s="88" t="s">
        <v>92</v>
      </c>
      <c r="AU15" s="89">
        <v>1059080</v>
      </c>
      <c r="AV15" s="88" t="s">
        <v>93</v>
      </c>
    </row>
    <row r="16" spans="1:48" ht="32" thickBot="1" x14ac:dyDescent="0.5">
      <c r="A16" s="39"/>
      <c r="B16" s="39" t="s">
        <v>53</v>
      </c>
      <c r="C16" s="40"/>
      <c r="D16" s="40"/>
      <c r="E16" s="40"/>
      <c r="F16" s="40"/>
      <c r="G16" s="40"/>
      <c r="H16" s="40"/>
      <c r="I16" s="40"/>
      <c r="J16" s="40"/>
      <c r="K16" s="40"/>
      <c r="AS16" s="88">
        <v>6</v>
      </c>
      <c r="AT16" s="88" t="s">
        <v>94</v>
      </c>
      <c r="AU16" s="89">
        <v>1255100</v>
      </c>
      <c r="AV16" s="88" t="s">
        <v>93</v>
      </c>
    </row>
    <row r="17" spans="1:48" ht="14.25" customHeight="1" thickBot="1" x14ac:dyDescent="0.5">
      <c r="A17" s="39"/>
      <c r="B17" s="155"/>
      <c r="C17" s="155"/>
      <c r="D17" s="155"/>
      <c r="E17" s="155"/>
      <c r="F17" s="40"/>
      <c r="G17" s="40"/>
      <c r="H17" s="40"/>
      <c r="I17" s="40"/>
      <c r="J17" s="40"/>
      <c r="K17" s="40"/>
      <c r="AS17" s="88">
        <v>7</v>
      </c>
      <c r="AT17" s="88" t="s">
        <v>95</v>
      </c>
      <c r="AU17" s="89">
        <v>1451120</v>
      </c>
      <c r="AV17" s="88" t="s">
        <v>93</v>
      </c>
    </row>
    <row r="18" spans="1:48" s="50" customFormat="1" ht="27.9" customHeight="1" x14ac:dyDescent="0.45">
      <c r="A18" s="141" t="str">
        <f>"          2. 관련문서 "&amp;기본자료!B13&amp;"자 귀 제 『 "&amp;기본자료!B14&amp;" 』 호로 의뢰하신 『 "&amp;기본자료!B15&amp;" 』 건이 붙임과 같이 감정평가서를 회보하오니 업무에 참고하시기 바랍니다."</f>
        <v xml:space="preserve">          2. 관련문서 2026/07/08자 귀 제 『 HI260708-2703 』 호로 의뢰하신 『 서울특별시 동작구 노량진동 323외 1필지 우성아파트 제108동 제5층 제505호 』 건이 붙임과 같이 감정평가서를 회보하오니 업무에 참고하시기 바랍니다.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spans="1:48" s="50" customFormat="1" ht="27.9" customHeight="1" x14ac:dyDescent="0.45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1:48" s="50" customFormat="1" ht="27.9" customHeight="1" x14ac:dyDescent="0.45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spans="1:48" x14ac:dyDescent="0.45">
      <c r="A21" s="152"/>
      <c r="B21" s="152"/>
      <c r="C21" s="152"/>
      <c r="D21" s="152"/>
      <c r="E21" s="152"/>
      <c r="F21" s="41"/>
      <c r="G21" s="41"/>
      <c r="H21" s="41"/>
      <c r="I21" s="41"/>
      <c r="J21" s="41"/>
      <c r="K21" s="41"/>
    </row>
    <row r="22" spans="1:48" x14ac:dyDescent="0.45">
      <c r="A22" s="155"/>
      <c r="B22" s="155"/>
      <c r="C22" s="155"/>
      <c r="D22" s="155"/>
      <c r="E22" s="155"/>
      <c r="F22" s="39"/>
      <c r="G22" s="39"/>
      <c r="H22" s="39"/>
      <c r="I22" s="39"/>
      <c r="J22" s="39"/>
      <c r="K22" s="39"/>
    </row>
    <row r="23" spans="1:48" x14ac:dyDescent="0.45">
      <c r="A23" s="45" t="s">
        <v>24</v>
      </c>
      <c r="B23" s="59" t="s">
        <v>52</v>
      </c>
      <c r="C23" s="45"/>
      <c r="D23" s="45"/>
      <c r="E23" s="60">
        <v>2</v>
      </c>
      <c r="F23" s="45" t="s">
        <v>64</v>
      </c>
      <c r="G23" s="45"/>
      <c r="H23" s="45"/>
      <c r="I23" s="39"/>
      <c r="J23" s="39"/>
      <c r="K23" s="39"/>
    </row>
    <row r="24" spans="1:48" x14ac:dyDescent="0.45">
      <c r="A24" s="42" t="s">
        <v>7</v>
      </c>
      <c r="B24" s="47" t="s">
        <v>51</v>
      </c>
      <c r="C24" s="61"/>
      <c r="D24" s="61"/>
      <c r="E24" s="62">
        <v>1</v>
      </c>
      <c r="F24" s="47" t="s">
        <v>64</v>
      </c>
      <c r="G24" s="61"/>
      <c r="H24" s="45"/>
      <c r="I24" s="39"/>
      <c r="J24" s="39"/>
      <c r="K24" s="39"/>
    </row>
    <row r="25" spans="1:48" x14ac:dyDescent="0.45">
      <c r="A25" s="43"/>
      <c r="B25" s="47" t="s">
        <v>47</v>
      </c>
      <c r="C25" s="44"/>
      <c r="D25" s="44"/>
      <c r="E25" s="63">
        <v>1</v>
      </c>
      <c r="F25" s="44" t="s">
        <v>64</v>
      </c>
      <c r="G25" s="45" t="s">
        <v>46</v>
      </c>
      <c r="H25" s="45"/>
      <c r="I25" s="39"/>
      <c r="J25" s="39"/>
      <c r="K25" s="39"/>
    </row>
    <row r="26" spans="1:48" x14ac:dyDescent="0.45">
      <c r="A26" s="39"/>
      <c r="B26" s="47"/>
      <c r="C26" s="47"/>
      <c r="D26" s="47"/>
      <c r="E26" s="62"/>
      <c r="F26" s="45"/>
      <c r="G26" s="45"/>
      <c r="H26" s="45"/>
      <c r="I26" s="39"/>
      <c r="J26" s="39"/>
      <c r="K26" s="39"/>
    </row>
    <row r="27" spans="1:48" x14ac:dyDescent="0.45">
      <c r="A27" s="39"/>
      <c r="B27" s="47"/>
      <c r="C27" s="47"/>
      <c r="D27" s="47"/>
      <c r="E27" s="62"/>
      <c r="F27" s="45"/>
      <c r="G27" s="45"/>
      <c r="H27" s="45"/>
      <c r="I27" s="39"/>
      <c r="J27" s="39"/>
      <c r="K27" s="39"/>
    </row>
    <row r="28" spans="1:48" x14ac:dyDescent="0.45">
      <c r="A28" s="43"/>
      <c r="B28" s="45"/>
      <c r="C28" s="45"/>
      <c r="D28" s="45"/>
      <c r="E28" s="45"/>
      <c r="F28" s="39"/>
      <c r="G28" s="39"/>
      <c r="H28" s="39"/>
      <c r="I28" s="39"/>
      <c r="J28" s="39"/>
      <c r="K28" s="39"/>
    </row>
    <row r="29" spans="1:48" ht="17.25" customHeight="1" x14ac:dyDescent="0.45">
      <c r="A29" s="43"/>
      <c r="B29" s="45"/>
      <c r="C29" s="45"/>
      <c r="D29" s="45"/>
      <c r="E29" s="45"/>
      <c r="F29" s="39"/>
      <c r="G29" s="39"/>
      <c r="H29" s="39"/>
      <c r="I29" s="39"/>
      <c r="J29" s="39"/>
      <c r="K29" s="39"/>
      <c r="AQ29">
        <f>+AP29-M24</f>
        <v>0</v>
      </c>
    </row>
    <row r="30" spans="1:48" x14ac:dyDescent="0.45">
      <c r="A30" s="43"/>
      <c r="B30" s="45"/>
      <c r="C30" s="45"/>
      <c r="D30" s="45"/>
      <c r="E30" s="45"/>
      <c r="F30" s="39"/>
      <c r="G30" s="39"/>
      <c r="H30" s="39"/>
      <c r="I30" s="39"/>
      <c r="J30" s="39"/>
      <c r="K30" s="39"/>
    </row>
    <row r="31" spans="1:48" x14ac:dyDescent="0.45">
      <c r="A31" s="43"/>
      <c r="B31" s="45"/>
      <c r="C31" s="45"/>
      <c r="D31" s="45"/>
      <c r="E31" s="45"/>
      <c r="F31" s="39"/>
      <c r="G31" s="39"/>
      <c r="H31" s="39"/>
      <c r="I31" s="39"/>
      <c r="J31" s="39"/>
      <c r="K31" s="39"/>
    </row>
    <row r="32" spans="1:48" x14ac:dyDescent="0.45">
      <c r="A32" s="43"/>
      <c r="B32" s="45"/>
      <c r="C32" s="45"/>
      <c r="D32" s="45"/>
      <c r="E32" s="45"/>
      <c r="F32" s="39"/>
      <c r="G32" s="39"/>
      <c r="H32" s="39"/>
      <c r="I32" s="39"/>
      <c r="J32" s="39"/>
      <c r="K32" s="39"/>
    </row>
    <row r="33" spans="1:11" ht="18" customHeight="1" x14ac:dyDescent="0.45">
      <c r="A33" s="43"/>
      <c r="B33" s="45"/>
      <c r="C33" s="45"/>
      <c r="D33" s="45"/>
      <c r="E33" s="45"/>
      <c r="F33" s="39"/>
      <c r="G33" s="39"/>
      <c r="H33" s="39"/>
      <c r="I33" s="39"/>
      <c r="J33" s="39"/>
      <c r="K33" s="39"/>
    </row>
    <row r="34" spans="1:11" ht="33" customHeight="1" x14ac:dyDescent="0.45">
      <c r="A34" s="151" t="s">
        <v>2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1"/>
    </row>
    <row r="35" spans="1:11" ht="25.5" x14ac:dyDescent="0.45">
      <c r="A35" s="150" t="s">
        <v>71</v>
      </c>
      <c r="B35" s="150"/>
      <c r="C35" s="150"/>
      <c r="D35" s="150"/>
      <c r="E35" s="150"/>
      <c r="F35" s="150"/>
      <c r="G35" s="150"/>
      <c r="H35" s="150"/>
      <c r="I35" s="150"/>
      <c r="J35" s="150"/>
      <c r="K35" s="150"/>
    </row>
    <row r="36" spans="1:11" ht="31" x14ac:dyDescent="0.4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</row>
    <row r="37" spans="1:11" ht="13.65" customHeight="1" x14ac:dyDescent="0.45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</row>
  </sheetData>
  <mergeCells count="40">
    <mergeCell ref="A22:E22"/>
    <mergeCell ref="AM6:AN6"/>
    <mergeCell ref="AL13:AL14"/>
    <mergeCell ref="J11:K11"/>
    <mergeCell ref="F12:G12"/>
    <mergeCell ref="J12:K12"/>
    <mergeCell ref="AM12:AN12"/>
    <mergeCell ref="F11:G11"/>
    <mergeCell ref="B17:E17"/>
    <mergeCell ref="AP6:AQ6"/>
    <mergeCell ref="AL7:AL8"/>
    <mergeCell ref="AO7:AO10"/>
    <mergeCell ref="AP7:AQ7"/>
    <mergeCell ref="AP8:AQ8"/>
    <mergeCell ref="AL9:AM9"/>
    <mergeCell ref="AP9:AQ9"/>
    <mergeCell ref="AL10:AM10"/>
    <mergeCell ref="AP10:AQ10"/>
    <mergeCell ref="AP12:AQ12"/>
    <mergeCell ref="AO13:AO15"/>
    <mergeCell ref="AP13:AQ13"/>
    <mergeCell ref="AP14:AQ14"/>
    <mergeCell ref="AL15:AM15"/>
    <mergeCell ref="AP15:AQ15"/>
    <mergeCell ref="A37:K37"/>
    <mergeCell ref="A2:K2"/>
    <mergeCell ref="B9:C9"/>
    <mergeCell ref="B10:E10"/>
    <mergeCell ref="B13:E13"/>
    <mergeCell ref="A18:K20"/>
    <mergeCell ref="G8:H8"/>
    <mergeCell ref="J8:K8"/>
    <mergeCell ref="F9:F10"/>
    <mergeCell ref="I9:I12"/>
    <mergeCell ref="A35:K35"/>
    <mergeCell ref="J9:K9"/>
    <mergeCell ref="J10:K10"/>
    <mergeCell ref="B11:E11"/>
    <mergeCell ref="A34:K34"/>
    <mergeCell ref="A21:E21"/>
  </mergeCells>
  <phoneticPr fontId="24" type="noConversion"/>
  <pageMargins left="0.40000000596046448" right="0.37000000476837158" top="0.75" bottom="0.75" header="0.30000001192092896" footer="0.30000001192092896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zoomScaleNormal="100" workbookViewId="0">
      <selection activeCell="I5" sqref="I5"/>
    </sheetView>
  </sheetViews>
  <sheetFormatPr defaultColWidth="9" defaultRowHeight="17" x14ac:dyDescent="0.45"/>
  <sheetData/>
  <phoneticPr fontId="24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기본자료</vt:lpstr>
      <vt:lpstr>표지</vt:lpstr>
      <vt:lpstr>청구서</vt:lpstr>
      <vt:lpstr>회보서</vt:lpstr>
      <vt:lpstr>수수료계산(20%할인및정상)</vt:lpstr>
      <vt:lpstr>기본자료!Print_Area</vt:lpstr>
      <vt:lpstr>청구서!Print_Area</vt:lpstr>
      <vt:lpstr>표지!Print_Area</vt:lpstr>
      <vt:lpstr>회보서!Print_Area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</dc:creator>
  <cp:lastModifiedBy>우진 정</cp:lastModifiedBy>
  <cp:revision>57</cp:revision>
  <cp:lastPrinted>2026-05-14T01:09:02Z</cp:lastPrinted>
  <dcterms:created xsi:type="dcterms:W3CDTF">2010-11-18T04:18:38Z</dcterms:created>
  <dcterms:modified xsi:type="dcterms:W3CDTF">2026-07-12T08:31:23Z</dcterms:modified>
</cp:coreProperties>
</file>